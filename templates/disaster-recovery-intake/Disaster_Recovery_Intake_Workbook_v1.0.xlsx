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1 Org Profile" sheetId="2" state="visible" r:id="rId4"/>
    <sheet name="2 Business Impact" sheetId="3" state="visible" r:id="rId5"/>
    <sheet name="3 Critical Apps" sheetId="4" state="visible" r:id="rId6"/>
    <sheet name="4 Data Inventory" sheetId="5" state="visible" r:id="rId7"/>
    <sheet name="5 Infrastructure" sheetId="6" state="visible" r:id="rId8"/>
    <sheet name="6 Network" sheetId="7" state="visible" r:id="rId9"/>
    <sheet name="7 Backups" sheetId="8" state="visible" r:id="rId10"/>
    <sheet name="8 Break-Glass Access" sheetId="9" state="visible" r:id="rId11"/>
    <sheet name="9 Internal Contacts" sheetId="10" state="visible" r:id="rId12"/>
    <sheet name="10 Vendors" sheetId="11" state="visible" r:id="rId13"/>
    <sheet name="11 Recovery Sites" sheetId="12" state="visible" r:id="rId14"/>
    <sheet name="12 Communications" sheetId="13" state="visible" r:id="rId15"/>
    <sheet name="13 Gaps &amp; Actions" sheetId="14" state="visible" r:id="rId16"/>
    <sheet name="Lists" sheetId="15" state="visible" r:id="rId17"/>
  </sheets>
  <definedNames>
    <definedName function="false" hidden="false" localSheetId="1" name="_xlnm.Print_Titles" vbProcedure="false">'1 Org Profile'!$3:$3</definedName>
    <definedName function="false" hidden="false" localSheetId="10" name="_xlnm.Print_Titles" vbProcedure="false">'10 Vendors'!$3:$4</definedName>
    <definedName function="false" hidden="false" localSheetId="11" name="_xlnm.Print_Titles" vbProcedure="false">'11 Recovery Sites'!$3:$4</definedName>
    <definedName function="false" hidden="false" localSheetId="12" name="_xlnm.Print_Titles" vbProcedure="false">'12 Communications'!$3:$4</definedName>
    <definedName function="false" hidden="false" localSheetId="13" name="_xlnm.Print_Titles" vbProcedure="false">'13 Gaps &amp; Actions'!$3:$4</definedName>
    <definedName function="false" hidden="false" localSheetId="2" name="_xlnm.Print_Titles" vbProcedure="false">'2 Business Impact'!$3:$4</definedName>
    <definedName function="false" hidden="false" localSheetId="3" name="_xlnm.Print_Titles" vbProcedure="false">'3 Critical Apps'!$3:$4</definedName>
    <definedName function="false" hidden="false" localSheetId="4" name="_xlnm.Print_Titles" vbProcedure="false">'4 Data Inventory'!$3:$4</definedName>
    <definedName function="false" hidden="false" localSheetId="5" name="_xlnm.Print_Titles" vbProcedure="false">'5 Infrastructure'!$3:$4</definedName>
    <definedName function="false" hidden="false" localSheetId="6" name="_xlnm.Print_Titles" vbProcedure="false">'6 Network'!$3:$4</definedName>
    <definedName function="false" hidden="false" localSheetId="7" name="_xlnm.Print_Titles" vbProcedure="false">'7 Backups'!$3:$4</definedName>
    <definedName function="false" hidden="false" localSheetId="8" name="_xlnm.Print_Titles" vbProcedure="false">'8 Break-Glass Access'!$3:$4</definedName>
    <definedName function="false" hidden="false" localSheetId="9" name="_xlnm.Print_Titles" vbProcedure="false">'9 Internal Contacts'!$3:$4</definedName>
    <definedName function="false" hidden="false" name="AcctType" vbProcedure="false">Lists!$P$3:$P$12</definedName>
    <definedName function="false" hidden="false" name="AppList" vbProcedure="false">'3 Critical Apps'!$A$6:$A$105</definedName>
    <definedName function="false" hidden="false" name="AssetType" vbProcedure="false">Lists!$K$3:$K$13</definedName>
    <definedName function="false" hidden="false" name="AuthMethod" vbProcedure="false">Lists!$H$3:$H$7</definedName>
    <definedName function="false" hidden="false" name="BackupMethod" vbProcedure="false">Lists!$N$3:$N$10</definedName>
    <definedName function="false" hidden="false" name="BackupTarget" vbProcedure="false">Lists!$O$3:$O$10</definedName>
    <definedName function="false" hidden="false" name="Classification" vbProcedure="false">Lists!$I$3:$I$6</definedName>
    <definedName function="false" hidden="false" name="CommMethod" vbProcedure="false">Lists!$V$3:$V$10</definedName>
    <definedName function="false" hidden="false" name="CredStorage" vbProcedure="false">Lists!$Q$3:$Q$8</definedName>
    <definedName function="false" hidden="false" name="DRRole" vbProcedure="false">Lists!$R$3:$R$12</definedName>
    <definedName function="false" hidden="false" name="ExpiryWarnDays" vbProcedure="false">Lists!$B$6</definedName>
    <definedName function="false" hidden="false" name="Hosting" vbProcedure="false">Lists!$G$3:$G$7</definedName>
    <definedName function="false" hidden="false" name="Impact" vbProcedure="false">Lists!$E$3:$E$6</definedName>
    <definedName function="false" hidden="false" name="NetCategory" vbProcedure="false">Lists!$M$3:$M$14</definedName>
    <definedName function="false" hidden="false" name="PreparedBy" vbProcedure="false">'Start Here'!$C$5</definedName>
    <definedName function="false" hidden="false" name="PreparedFor" vbProcedure="false">'Start Here'!$C$6</definedName>
    <definedName function="false" hidden="false" name="RecoveryMethod" vbProcedure="false">Lists!$L$3:$L$9</definedName>
    <definedName function="false" hidden="false" name="Regulatory" vbProcedure="false">Lists!$J$3:$J$13</definedName>
    <definedName function="false" hidden="false" name="RestoreTestMaxDays" vbProcedure="false">Lists!$B$5</definedName>
    <definedName function="false" hidden="false" name="SiteType" vbProcedure="false">Lists!$U$3:$U$10</definedName>
    <definedName function="false" hidden="false" name="Status" vbProcedure="false">Lists!$W$3:$W$6</definedName>
    <definedName function="false" hidden="false" name="SupportHours" vbProcedure="false">Lists!$T$3:$T$7</definedName>
    <definedName function="false" hidden="false" name="Tier" vbProcedure="false">Lists!$F$3:$F$6</definedName>
    <definedName function="false" hidden="false" name="Tier1Max" vbProcedure="false">Lists!$B$2</definedName>
    <definedName function="false" hidden="false" name="Tier2Max" vbProcedure="false">Lists!$B$3</definedName>
    <definedName function="false" hidden="false" name="Tier3Max" vbProcedure="false">Lists!$B$4</definedName>
    <definedName function="false" hidden="false" name="VendorCat" vbProcedure="false">Lists!$S$3:$S$13</definedName>
    <definedName function="false" hidden="false" name="YesNo" vbProcedure="false">Lists!$D$3:$D$6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<sst xmlns="http://schemas.openxmlformats.org/spreadsheetml/2006/main" count="689" uniqueCount="594">
  <si>
    <t xml:space="preserve">Disaster Recovery Plan</t>
  </si>
  <si>
    <t xml:space="preserve">[ YOUR LOGO HERE ]
Insert &gt; Pictures, place over this box, then delete this text</t>
  </si>
  <si>
    <t xml:space="preserve">Information Gathering Workbook</t>
  </si>
  <si>
    <t xml:space="preserve">A self-guided intake tool for IT teams. Complete it before writing the DR plan; the plan is only as good as what's collected here.</t>
  </si>
  <si>
    <t xml:space="preserve">Prepared by</t>
  </si>
  <si>
    <t xml:space="preserve">Your MSP / consultant name</t>
  </si>
  <si>
    <t xml:space="preserve">Prepared for</t>
  </si>
  <si>
    <t xml:space="preserve">Client organization name — appears in every tab title</t>
  </si>
  <si>
    <t xml:space="preserve">Issued / due date</t>
  </si>
  <si>
    <t xml:space="preserve">Date issued and date responses are due</t>
  </si>
  <si>
    <t xml:space="preserve">Questions? Contact</t>
  </si>
  <si>
    <t xml:space="preserve">Name, email, phone of the person supporting this intake</t>
  </si>
  <si>
    <t xml:space="preserve">HOW TO USE THIS WORKBOOK</t>
  </si>
  <si>
    <t xml:space="preserve">1.  Fill in Prepared by / Prepared for above (it flows into every tab title). Then assign an owner for each tab (suggested owners are in the tab guide below). IT can't answer the business questions alone — tabs 2, 4, and 9 need department heads.</t>
  </si>
  <si>
    <t xml:space="preserve">2.  Work roughly in order: Org Profile → Business Impact → Critical Apps. Business requirements (RTO / RPO) should drive the technical answers, not the other way around.</t>
  </si>
  <si>
    <t xml:space="preserve">3.  Type only in light-blue cells. Use the dropdowns where offered. Pink columns calculate automatically. Row 5 on each tab is a gray example — overwrite or delete it.</t>
  </si>
  <si>
    <t xml:space="preserve">4.  'Unknown' is a valid answer. Don't stall on it — record it, and log it on tab 13 (Gaps &amp; Actions). Unknowns ARE the findings.</t>
  </si>
  <si>
    <t xml:space="preserve">5.  Never record passwords, secrets, or MFA seeds here. Record where they're stored and who can reach them.</t>
  </si>
  <si>
    <t xml:space="preserve">6.  Watch the Readiness Snapshot below. Red flags on tabs 2, 7, and 8 are the issues most likely to turn an outage into a disaster.</t>
  </si>
  <si>
    <t xml:space="preserve">7.  This workbook contains sensitive information (contacts, IPs, account numbers). Store and share it like you would the DR plan itself — and keep an offline copy.</t>
  </si>
  <si>
    <t xml:space="preserve">LEGEND</t>
  </si>
  <si>
    <t xml:space="preserve">Light blue</t>
  </si>
  <si>
    <t xml:space="preserve">Input — type here</t>
  </si>
  <si>
    <t xml:space="preserve">Pink</t>
  </si>
  <si>
    <t xml:space="preserve">Calculated — don't edit</t>
  </si>
  <si>
    <t xml:space="preserve">Gray italic</t>
  </si>
  <si>
    <t xml:space="preserve">Example row — overwrite or delete</t>
  </si>
  <si>
    <t xml:space="preserve">Red</t>
  </si>
  <si>
    <t xml:space="preserve">Gap / expired / never tested</t>
  </si>
  <si>
    <t xml:space="preserve">Amber</t>
  </si>
  <si>
    <t xml:space="preserve">Expiring within warning window</t>
  </si>
  <si>
    <t xml:space="preserve">Green</t>
  </si>
  <si>
    <t xml:space="preserve">Meets requirement</t>
  </si>
  <si>
    <t xml:space="preserve">Tier thresholds, restore-test age, and expiry warning window are adjustable on the Lists tab.</t>
  </si>
  <si>
    <t xml:space="preserve">TAB GUIDE &amp; PROGRESS</t>
  </si>
  <si>
    <t xml:space="preserve">Tab</t>
  </si>
  <si>
    <t xml:space="preserve">What it captures</t>
  </si>
  <si>
    <t xml:space="preserve">Suggested owner</t>
  </si>
  <si>
    <t xml:space="preserve">Entries / answered</t>
  </si>
  <si>
    <t xml:space="preserve">1 Org Profile</t>
  </si>
  <si>
    <t xml:space="preserve">Scope, declaration authority, regulatory drivers, cyber insurance requirements</t>
  </si>
  <si>
    <t xml:space="preserve">IT lead + executive sponsor</t>
  </si>
  <si>
    <t xml:space="preserve">2 Business Impact</t>
  </si>
  <si>
    <t xml:space="preserve">Business functions, impact ratings, MTD / RTO / RPO, workarounds</t>
  </si>
  <si>
    <t xml:space="preserve">Department heads (IT facilitates)</t>
  </si>
  <si>
    <t xml:space="preserve">3 Critical Apps</t>
  </si>
  <si>
    <t xml:space="preserve">Applications, owners, tiers, RTO / RPO, dependencies, restore order</t>
  </si>
  <si>
    <t xml:space="preserve">IT + application owners</t>
  </si>
  <si>
    <t xml:space="preserve">4 Data Inventory</t>
  </si>
  <si>
    <t xml:space="preserve">Where data lives, data owners, classification, retention</t>
  </si>
  <si>
    <t xml:space="preserve">Data owners + IT</t>
  </si>
  <si>
    <t xml:space="preserve">5 Infrastructure</t>
  </si>
  <si>
    <t xml:space="preserve">Servers, hypervisors, storage, network gear, cloud tenants, recovery method</t>
  </si>
  <si>
    <t xml:space="preserve">IT / MSP</t>
  </si>
  <si>
    <t xml:space="preserve">6 Network</t>
  </si>
  <si>
    <t xml:space="preserve">Circuits, VPN, DNS, domains, certificates, email routing, telephony</t>
  </si>
  <si>
    <t xml:space="preserve">7 Backups</t>
  </si>
  <si>
    <t xml:space="preserve">Backup jobs, immutability, restore testing, RPO / RTO gap checks</t>
  </si>
  <si>
    <t xml:space="preserve">8 Break-Glass Access</t>
  </si>
  <si>
    <t xml:space="preserve">Privileged and emergency accounts, where creds live, offline reachability</t>
  </si>
  <si>
    <t xml:space="preserve">IT lead</t>
  </si>
  <si>
    <t xml:space="preserve">9 Internal Contacts</t>
  </si>
  <si>
    <t xml:space="preserve">Recovery team, DR roles, out-of-band contact info, authority</t>
  </si>
  <si>
    <t xml:space="preserve">IT lead + HR</t>
  </si>
  <si>
    <t xml:space="preserve">10 Vendors</t>
  </si>
  <si>
    <t xml:space="preserve">Third parties, account numbers, support / escalation, contracts</t>
  </si>
  <si>
    <t xml:space="preserve">IT + procurement / finance</t>
  </si>
  <si>
    <t xml:space="preserve">11 Recovery Sites</t>
  </si>
  <si>
    <t xml:space="preserve">Alternate locations, recovery regions, spare hardware, procurement</t>
  </si>
  <si>
    <t xml:space="preserve">IT + facilities</t>
  </si>
  <si>
    <t xml:space="preserve">12 Communications</t>
  </si>
  <si>
    <t xml:space="preserve">Who notifies whom, how, and with what approval</t>
  </si>
  <si>
    <t xml:space="preserve">Leadership + marketing / HR</t>
  </si>
  <si>
    <t xml:space="preserve">13 Gaps &amp; Actions</t>
  </si>
  <si>
    <t xml:space="preserve">Unknowns and findings — becomes the remediation roadmap</t>
  </si>
  <si>
    <t xml:space="preserve">DR plan owner</t>
  </si>
  <si>
    <t xml:space="preserve">READINESS SNAPSHOT  (updates as tabs are completed)</t>
  </si>
  <si>
    <t xml:space="preserve">Check</t>
  </si>
  <si>
    <t xml:space="preserve">Count</t>
  </si>
  <si>
    <t xml:space="preserve">What good looks like</t>
  </si>
  <si>
    <t xml:space="preserve">Critical applications documented</t>
  </si>
  <si>
    <t xml:space="preserve">Every system a business function depends on — including SaaS</t>
  </si>
  <si>
    <t xml:space="preserve">Tier 1 applications</t>
  </si>
  <si>
    <t xml:space="preserve">Should be a short list. If everything is Tier 1, nothing is.</t>
  </si>
  <si>
    <t xml:space="preserve">Apps missing a business owner</t>
  </si>
  <si>
    <t xml:space="preserve">0 — IT is the custodian, not the owner</t>
  </si>
  <si>
    <t xml:space="preserve">Apps missing RTO or RPO</t>
  </si>
  <si>
    <t xml:space="preserve">0</t>
  </si>
  <si>
    <t xml:space="preserve">Apps with no backup job mapped on tab 7</t>
  </si>
  <si>
    <t xml:space="preserve">0 (or documented as vendor-protected SaaS with verified export / backup)</t>
  </si>
  <si>
    <t xml:space="preserve">Functions where RTO exceeds MTD</t>
  </si>
  <si>
    <t xml:space="preserve">Backup jobs documented</t>
  </si>
  <si>
    <t xml:space="preserve">Backup jobs without an immutable / air-gapped copy</t>
  </si>
  <si>
    <t xml:space="preserve">0 — this is what survives ransomware</t>
  </si>
  <si>
    <t xml:space="preserve">Backup consoles tied to production domain (or unknown)</t>
  </si>
  <si>
    <t xml:space="preserve">Backups never restore-tested or stale</t>
  </si>
  <si>
    <t xml:space="preserve">0 — an untested backup is a hypothesis</t>
  </si>
  <si>
    <t xml:space="preserve">RPO gaps (backup frequency exceeds required RPO)</t>
  </si>
  <si>
    <t xml:space="preserve">RTO gaps (measured restore time exceeds required RTO)</t>
  </si>
  <si>
    <t xml:space="preserve">Break-glass accounts NOT reachable if domain / IdP is down</t>
  </si>
  <si>
    <t xml:space="preserve">People with authority to declare a disaster</t>
  </si>
  <si>
    <t xml:space="preserve">At least 3 (primary + 2 alternates)</t>
  </si>
  <si>
    <t xml:space="preserve">Recovery team members with no backup person</t>
  </si>
  <si>
    <t xml:space="preserve">Vendor contracts expired or expiring soon</t>
  </si>
  <si>
    <t xml:space="preserve">0 unexpected</t>
  </si>
  <si>
    <t xml:space="preserve">Open gaps / action items</t>
  </si>
  <si>
    <t xml:space="preserve">Trending down</t>
  </si>
  <si>
    <t xml:space="preserve">Green zeros on an empty workbook mean nothing yet — the snapshot is only meaningful once tabs 3 and 7 are populated.</t>
  </si>
  <si>
    <t xml:space="preserve">Powered by MSP Culture  •  v1.0  •  Free to use; terms at github.com/MSPCulture/msp-culture</t>
  </si>
  <si>
    <t xml:space="preserve">Answer each question in the blue Response column. This frames scope, authority, and the regulatory and insurance obligations that shape every recovery decision. Usually completed by the IT lead with input from leadership.</t>
  </si>
  <si>
    <t xml:space="preserve">Question</t>
  </si>
  <si>
    <t xml:space="preserve">Response</t>
  </si>
  <si>
    <t xml:space="preserve">Why it matters / guidance</t>
  </si>
  <si>
    <t xml:space="preserve">ORGANIZATION</t>
  </si>
  <si>
    <t xml:space="preserve">Organization legal name</t>
  </si>
  <si>
    <t xml:space="preserve">Industry / sector</t>
  </si>
  <si>
    <t xml:space="preserve">Number of employees / end users</t>
  </si>
  <si>
    <t xml:space="preserve">Number of physical locations (detail them on tab 11)</t>
  </si>
  <si>
    <t xml:space="preserve">Hours of operation and any 24x7 functions</t>
  </si>
  <si>
    <t xml:space="preserve">Sets expectations for when an outage actually hurts and when recovery staff are needed.</t>
  </si>
  <si>
    <t xml:space="preserve">Seasonal or cyclical critical periods (month-end, enrollment, tax season, etc.)</t>
  </si>
  <si>
    <t xml:space="preserve">A 24-hour outage in a quiet week and in month-end close are different disasters.</t>
  </si>
  <si>
    <t xml:space="preserve">DR PROGRAM OWNERSHIP</t>
  </si>
  <si>
    <t xml:space="preserve">Executive sponsor for DR (name / title)</t>
  </si>
  <si>
    <t xml:space="preserve">Someone with budget authority must own the plan, not just IT.</t>
  </si>
  <si>
    <t xml:space="preserve">DR plan owner / coordinator (name / title)</t>
  </si>
  <si>
    <t xml:space="preserve">Responsible for keeping this workbook and the resulting plan current.</t>
  </si>
  <si>
    <t xml:space="preserve">Who has authority to declare a disaster? List the role and at least two alternates.</t>
  </si>
  <si>
    <t xml:space="preserve">Declaration triggers spending, vendor engagement, and insurance clocks. Ambiguity here costs hours.</t>
  </si>
  <si>
    <t xml:space="preserve">Existing DR / BC plan? Location and last-updated date</t>
  </si>
  <si>
    <t xml:space="preserve">Date and type of last DR test or tabletop exercise</t>
  </si>
  <si>
    <t xml:space="preserve">Tabletop, partial restore, full failover — be specific.</t>
  </si>
  <si>
    <t xml:space="preserve">Spending authority during a declared disaster (who, and up to what amount)</t>
  </si>
  <si>
    <t xml:space="preserve">Emergency hardware, cloud spend, and IR retainers need pre-approved limits.</t>
  </si>
  <si>
    <t xml:space="preserve">REGULATORY &amp; CONTRACTUAL DRIVERS</t>
  </si>
  <si>
    <t xml:space="preserve">Regulations that apply (HIPAA, CMMC, PCI DSS, FERPA, CJIS, GLBA, state privacy laws, etc.)</t>
  </si>
  <si>
    <t xml:space="preserve">Drives notification timelines, evidence preservation, and where data may be restored.</t>
  </si>
  <si>
    <t xml:space="preserve">Contractual uptime / recovery commitments to customers or funders</t>
  </si>
  <si>
    <t xml:space="preserve">Your customers' SLAs can set your RTO for you.</t>
  </si>
  <si>
    <t xml:space="preserve">Breach notification obligations (regulators, states, customers) and timelines</t>
  </si>
  <si>
    <t xml:space="preserve">e.g. DFARS 72-hour reporting, HIPAA 60-day, state AG notifications.</t>
  </si>
  <si>
    <t xml:space="preserve">Data residency or sovereignty restrictions on recovery locations</t>
  </si>
  <si>
    <t xml:space="preserve">Limits which cloud regions or recovery sites are allowed.</t>
  </si>
  <si>
    <t xml:space="preserve">CYBER INSURANCE</t>
  </si>
  <si>
    <t xml:space="preserve">Carrier, policy number, and policy period</t>
  </si>
  <si>
    <t xml:space="preserve">Insurer incident / breach hotline (the required FIRST call)</t>
  </si>
  <si>
    <t xml:space="preserve">Many policies reduce or deny coverage if you engage vendors before calling the carrier.</t>
  </si>
  <si>
    <t xml:space="preserve">Panel / pre-approved incident response firm and breach counsel</t>
  </si>
  <si>
    <t xml:space="preserve">Using non-panel vendors may not be reimbursed.</t>
  </si>
  <si>
    <t xml:space="preserve">Policy conditions affecting recovery (MFA, EDR, immutable backups, offline copies, ransom payment terms)</t>
  </si>
  <si>
    <t xml:space="preserve">Attestations made on the application must match reality or coverage is at risk.</t>
  </si>
  <si>
    <t xml:space="preserve">SCOPE &amp; ASSUMPTIONS</t>
  </si>
  <si>
    <t xml:space="preserve">Scenarios in scope (ransomware, site loss, cloud / SaaS outage, ISP outage, key-person loss, insider, etc.)</t>
  </si>
  <si>
    <t xml:space="preserve">Ransomware should almost always be in scope; it assumes your domain and backups are hostile.</t>
  </si>
  <si>
    <t xml:space="preserve">Systems, locations, or business units explicitly OUT of scope</t>
  </si>
  <si>
    <t xml:space="preserve">Known single points of failure — people, systems, or vendors</t>
  </si>
  <si>
    <t xml:space="preserve">The person who 'just knows how it works' counts.</t>
  </si>
  <si>
    <t xml:space="preserve">Leadership's biggest DR concern today</t>
  </si>
  <si>
    <t xml:space="preserve">Use this to prioritize what gets built first.</t>
  </si>
  <si>
    <t xml:space="preserve">List the business FUNCTIONS (not systems) the organization must keep running, and how long each can be down. Complete with each department head — IT should facilitate, not guess. Hours are the unit for every downtime / data-loss column.   Row 5 (gray, italic) is an EXAMPLE — overwrite or delete it. Pink columns calculate automatically; don't type in them.</t>
  </si>
  <si>
    <t xml:space="preserve">Business Function / Process</t>
  </si>
  <si>
    <t xml:space="preserve">Department</t>
  </si>
  <si>
    <t xml:space="preserve">Process Owner (name / title)</t>
  </si>
  <si>
    <t xml:space="preserve">Description</t>
  </si>
  <si>
    <t xml:space="preserve">Supporting Applications</t>
  </si>
  <si>
    <t xml:space="preserve">Peak / Critical Periods</t>
  </si>
  <si>
    <t xml:space="preserve">Financial Impact</t>
  </si>
  <si>
    <t xml:space="preserve">Operational Impact</t>
  </si>
  <si>
    <t xml:space="preserve">Regulatory / Legal Impact</t>
  </si>
  <si>
    <t xml:space="preserve">Reputational Impact</t>
  </si>
  <si>
    <t xml:space="preserve">Max Tolerable Downtime (hrs)</t>
  </si>
  <si>
    <t xml:space="preserve">Target RTO (hrs)</t>
  </si>
  <si>
    <t xml:space="preserve">Target RPO (hrs)</t>
  </si>
  <si>
    <t xml:space="preserve">Manual Workaround?</t>
  </si>
  <si>
    <t xml:space="preserve">Workaround Description &amp; How Long It Can Be Sustained</t>
  </si>
  <si>
    <t xml:space="preserve">Suggested Tier  (calc)</t>
  </si>
  <si>
    <t xml:space="preserve">RTO vs MTD Check  (calc)</t>
  </si>
  <si>
    <t xml:space="preserve">Notes</t>
  </si>
  <si>
    <t xml:space="preserve">What the business does, e.g. 'Payroll', 'Student attendance', 'Order fulfillment'.</t>
  </si>
  <si>
    <t xml:space="preserve">The business person accountable for this function.</t>
  </si>
  <si>
    <t xml:space="preserve">Names should match tab 3.</t>
  </si>
  <si>
    <t xml:space="preserve">Point at which the outage causes unacceptable harm.</t>
  </si>
  <si>
    <t xml:space="preserve">How fast it must be restored. Must be ≤ MTD.</t>
  </si>
  <si>
    <t xml:space="preserve">How much data (in hours) can be lost and re-entered.</t>
  </si>
  <si>
    <t xml:space="preserve">Payroll processing</t>
  </si>
  <si>
    <t xml:space="preserve">Finance</t>
  </si>
  <si>
    <t xml:space="preserve">Jane Doe, Controller</t>
  </si>
  <si>
    <t xml:space="preserve">Bi-weekly payroll for 240 employees</t>
  </si>
  <si>
    <t xml:space="preserve">Paylocity; Microsoft Excel</t>
  </si>
  <si>
    <t xml:space="preserve">Every other Thursday; year-end</t>
  </si>
  <si>
    <t xml:space="preserve">High</t>
  </si>
  <si>
    <t xml:space="preserve">Medium</t>
  </si>
  <si>
    <t xml:space="preserve">Yes</t>
  </si>
  <si>
    <t xml:space="preserve">Re-run prior period as manual checks; sustainable 1 cycle</t>
  </si>
  <si>
    <t xml:space="preserve">One row per application or service the business depends on — on-prem, cloud, and SaaS. The app name in column A feeds the dropdown on the Backups tab, so use consistent names. RTO / RPO in hours.   Row 5 (gray, italic) is an EXAMPLE — overwrite or delete it. Pink columns calculate automatically; don't type in them.</t>
  </si>
  <si>
    <t xml:space="preserve">Application / Service Name</t>
  </si>
  <si>
    <t xml:space="preserve">Version / Edition</t>
  </si>
  <si>
    <t xml:space="preserve">Vendor / Publisher</t>
  </si>
  <si>
    <t xml:space="preserve">Hosting Model</t>
  </si>
  <si>
    <t xml:space="preserve">Business Functions Supported</t>
  </si>
  <si>
    <t xml:space="preserve">Business Owner</t>
  </si>
  <si>
    <t xml:space="preserve">Technical Owner / Admin</t>
  </si>
  <si>
    <t xml:space="preserve">Criticality Tier</t>
  </si>
  <si>
    <t xml:space="preserve">RTO (hrs)</t>
  </si>
  <si>
    <t xml:space="preserve">RPO (hrs)</t>
  </si>
  <si>
    <t xml:space="preserve">Restore Sequence #</t>
  </si>
  <si>
    <t xml:space="preserve">Depends On (servers, databases, other apps, network)</t>
  </si>
  <si>
    <t xml:space="preserve">Authentication</t>
  </si>
  <si>
    <t xml:space="preserve">Licensing / Activation Constraints</t>
  </si>
  <si>
    <t xml:space="preserve">Vendor Support Contact</t>
  </si>
  <si>
    <t xml:space="preserve">Install Media / License Keys Location</t>
  </si>
  <si>
    <t xml:space="preserve">Recovery Documentation Location</t>
  </si>
  <si>
    <t xml:space="preserve">Is It Backed Up?</t>
  </si>
  <si>
    <t xml:space="preserve">Should match tab 2.</t>
  </si>
  <si>
    <t xml:space="preserve">Use the highest tier of any function it supports.</t>
  </si>
  <si>
    <t xml:space="preserve">Order of recovery. 1 = first (identity, DNS, network usually come before apps).</t>
  </si>
  <si>
    <t xml:space="preserve">What must be up before this works.</t>
  </si>
  <si>
    <t xml:space="preserve">Hardware-locked licenses, license servers, vendor activation calls.</t>
  </si>
  <si>
    <t xml:space="preserve">Full detail goes on tab 10.</t>
  </si>
  <si>
    <t xml:space="preserve">Runbook, KB article, or 'None' — 'None' is a valid and useful answer.</t>
  </si>
  <si>
    <t xml:space="preserve">Detail goes on tab 7. SaaS is NOT automatically backed up.</t>
  </si>
  <si>
    <t xml:space="preserve">Paylocity</t>
  </si>
  <si>
    <t xml:space="preserve">SaaS – Enterprise</t>
  </si>
  <si>
    <t xml:space="preserve">Paylocity Corp.</t>
  </si>
  <si>
    <t xml:space="preserve">SaaS</t>
  </si>
  <si>
    <t xml:space="preserve">Payroll processing; HR onboarding</t>
  </si>
  <si>
    <t xml:space="preserve">Sam Lee, Sys Admin</t>
  </si>
  <si>
    <t xml:space="preserve">Tier 3</t>
  </si>
  <si>
    <t xml:space="preserve">Entra ID SSO; internet; Excel export to file share</t>
  </si>
  <si>
    <t xml:space="preserve">Entra ID / SSO</t>
  </si>
  <si>
    <t xml:space="preserve">None – subscription</t>
  </si>
  <si>
    <t xml:space="preserve">See tab 10</t>
  </si>
  <si>
    <t xml:space="preserve">N/A (SaaS)</t>
  </si>
  <si>
    <t xml:space="preserve">IT Glue &gt; Paylocity &gt; Recovery</t>
  </si>
  <si>
    <t xml:space="preserve">No</t>
  </si>
  <si>
    <t xml:space="preserve">Where the organization's important data lives, who owns it, and how it's protected. Data owners decide classification and retention; IT is the custodian. Include file shares, databases, SaaS repositories, and email.   Row 5 (gray, italic) is an EXAMPLE — overwrite or delete it. Pink columns calculate automatically; don't type in them.</t>
  </si>
  <si>
    <t xml:space="preserve">Data Set / Repository</t>
  </si>
  <si>
    <t xml:space="preserve">Storage Location (system / path / tenant)</t>
  </si>
  <si>
    <t xml:space="preserve">Associated Application</t>
  </si>
  <si>
    <t xml:space="preserve">Data Owner (business)</t>
  </si>
  <si>
    <t xml:space="preserve">Data Custodian (IT)</t>
  </si>
  <si>
    <t xml:space="preserve">Classification</t>
  </si>
  <si>
    <t xml:space="preserve">Regulatory Scope</t>
  </si>
  <si>
    <t xml:space="preserve">Approx. Volume (GB)</t>
  </si>
  <si>
    <t xml:space="preserve">Change Rate / Activity</t>
  </si>
  <si>
    <t xml:space="preserve">Retention Requirement</t>
  </si>
  <si>
    <t xml:space="preserve">Legal Hold Applicable?</t>
  </si>
  <si>
    <t xml:space="preserve">Backed Up?</t>
  </si>
  <si>
    <t xml:space="preserve">Backup Job Reference (tab 7)</t>
  </si>
  <si>
    <t xml:space="preserve">Encrypted at Rest?</t>
  </si>
  <si>
    <t xml:space="preserve">e.g. 'Daily heavy', 'Weekly', 'Archive only'.</t>
  </si>
  <si>
    <t xml:space="preserve">Finance file share</t>
  </si>
  <si>
    <t xml:space="preserve">AP/AR workpapers, payroll exports</t>
  </si>
  <si>
    <t xml:space="preserve">\\FS01\Finance  (SharePoint migration planned)</t>
  </si>
  <si>
    <t xml:space="preserve">Confidential</t>
  </si>
  <si>
    <t xml:space="preserve">None</t>
  </si>
  <si>
    <t xml:space="preserve">Daily, heavy at month-end</t>
  </si>
  <si>
    <t xml:space="preserve">7 years</t>
  </si>
  <si>
    <t xml:space="preserve">FS01-Nightly</t>
  </si>
  <si>
    <t xml:space="preserve">Servers, hypervisors, storage, network gear, and cloud tenants that the critical apps run on. Export from your RMM / documentation platform if possible and paste here — then fill the recovery columns, which exports never have.   Row 5 (gray, italic) is an EXAMPLE — overwrite or delete it. Pink columns calculate automatically; don't type in them.</t>
  </si>
  <si>
    <t xml:space="preserve">Asset Name / Hostname</t>
  </si>
  <si>
    <t xml:space="preserve">Asset Type</t>
  </si>
  <si>
    <t xml:space="preserve">Site / Location</t>
  </si>
  <si>
    <t xml:space="preserve">Role / Function</t>
  </si>
  <si>
    <t xml:space="preserve">OS / Firmware &amp; Version</t>
  </si>
  <si>
    <t xml:space="preserve">Runs On (host / cluster / region)</t>
  </si>
  <si>
    <t xml:space="preserve">IP Address(es)</t>
  </si>
  <si>
    <t xml:space="preserve">Applications Hosted</t>
  </si>
  <si>
    <t xml:space="preserve">Manufacturer / Model</t>
  </si>
  <si>
    <t xml:space="preserve">Serial / Service Tag</t>
  </si>
  <si>
    <t xml:space="preserve">Warranty / Support Expiry</t>
  </si>
  <si>
    <t xml:space="preserve">Technical Owner</t>
  </si>
  <si>
    <t xml:space="preserve">Recovery Method</t>
  </si>
  <si>
    <t xml:space="preserve">Config Backed Up?</t>
  </si>
  <si>
    <t xml:space="preserve">Rebuild Documentation Location</t>
  </si>
  <si>
    <t xml:space="preserve">Red = expired, amber = within warning window (Lists tab).</t>
  </si>
  <si>
    <t xml:space="preserve">Firewalls, switches, hypervisor configs count.</t>
  </si>
  <si>
    <t xml:space="preserve">FS01</t>
  </si>
  <si>
    <t xml:space="preserve">Virtual machine</t>
  </si>
  <si>
    <t xml:space="preserve">HQ server room</t>
  </si>
  <si>
    <t xml:space="preserve">File server</t>
  </si>
  <si>
    <t xml:space="preserve">Windows Server 2022</t>
  </si>
  <si>
    <t xml:space="preserve">HV-HOST-01</t>
  </si>
  <si>
    <t xml:space="preserve">10.10.1.20</t>
  </si>
  <si>
    <t xml:space="preserve">Finance and HR shares</t>
  </si>
  <si>
    <t xml:space="preserve">N/A (VM)</t>
  </si>
  <si>
    <t xml:space="preserve">N/A</t>
  </si>
  <si>
    <t xml:space="preserve">Sam Lee</t>
  </si>
  <si>
    <t xml:space="preserve">Restore from backup</t>
  </si>
  <si>
    <t xml:space="preserve">IT Glue &gt; Configurations &gt; FS01</t>
  </si>
  <si>
    <t xml:space="preserve">Circuits, WAN / VPN, DNS, domains, certificates, email routing, and telephony. These are the dependencies that quietly break every recovery when nobody knows the registrar login or the circuit ID.   Row 5 (gray, italic) is an EXAMPLE — overwrite or delete it. Pink columns calculate automatically; don't type in them.</t>
  </si>
  <si>
    <t xml:space="preserve">Item</t>
  </si>
  <si>
    <t xml:space="preserve">Category</t>
  </si>
  <si>
    <t xml:space="preserve">Provider / Vendor</t>
  </si>
  <si>
    <t xml:space="preserve">Site</t>
  </si>
  <si>
    <t xml:space="preserve">Circuit / Account ID</t>
  </si>
  <si>
    <t xml:space="preserve">Bandwidth / Spec</t>
  </si>
  <si>
    <t xml:space="preserve">Public IP(s) / Records</t>
  </si>
  <si>
    <t xml:space="preserve">Support Phone</t>
  </si>
  <si>
    <t xml:space="preserve">Redundancy / Failover</t>
  </si>
  <si>
    <t xml:space="preserve">Renewal / Expiry Date</t>
  </si>
  <si>
    <t xml:space="preserve">Admin Access Location (vault reference — NOT the password)</t>
  </si>
  <si>
    <t xml:space="preserve">Domains and certificates especially.</t>
  </si>
  <si>
    <t xml:space="preserve">Primary internet – HQ</t>
  </si>
  <si>
    <t xml:space="preserve">Internet circuit</t>
  </si>
  <si>
    <t xml:space="preserve">Spectrum Enterprise</t>
  </si>
  <si>
    <t xml:space="preserve">HQ</t>
  </si>
  <si>
    <t xml:space="preserve">CKT-0000000</t>
  </si>
  <si>
    <t xml:space="preserve">500/500 fiber</t>
  </si>
  <si>
    <t xml:space="preserve">203.0.113.10/29</t>
  </si>
  <si>
    <t xml:space="preserve">(800) 555-0100</t>
  </si>
  <si>
    <t xml:space="preserve">LTE failover on firewall</t>
  </si>
  <si>
    <t xml:space="preserve">Vault: Network &gt; ISP portal</t>
  </si>
  <si>
    <t xml:space="preserve">One row per backup job or protected system — including SaaS (M365, Google Workspace, line-of-business SaaS). Pick the application in column B and the required RPO / RTO pull from tab 3 so gaps flag automatically. 'Frequency' means hours between restore points (nightly = 24).   Row 5 (gray, italic) is an EXAMPLE — overwrite or delete it. Pink columns calculate automatically; don't type in them.</t>
  </si>
  <si>
    <t xml:space="preserve">Protected System / Data Set</t>
  </si>
  <si>
    <t xml:space="preserve">Supports Application (from tab 3)</t>
  </si>
  <si>
    <t xml:space="preserve">Required RPO (hrs)  (calc)</t>
  </si>
  <si>
    <t xml:space="preserve">Required RTO (hrs)  (calc)</t>
  </si>
  <si>
    <t xml:space="preserve">Backup Product</t>
  </si>
  <si>
    <t xml:space="preserve">Job / Policy Name</t>
  </si>
  <si>
    <t xml:space="preserve">Backup Method</t>
  </si>
  <si>
    <t xml:space="preserve">Frequency (hrs between restore points)</t>
  </si>
  <si>
    <t xml:space="preserve">RPO Gap?  (calc)</t>
  </si>
  <si>
    <t xml:space="preserve">Retention (days)</t>
  </si>
  <si>
    <t xml:space="preserve">Primary Backup Target</t>
  </si>
  <si>
    <t xml:space="preserve">Offsite / Secondary Copy</t>
  </si>
  <si>
    <t xml:space="preserve">Immutable or Air-Gapped Copy?</t>
  </si>
  <si>
    <t xml:space="preserve">Backups Encrypted?</t>
  </si>
  <si>
    <t xml:space="preserve">MFA on Backup Console?</t>
  </si>
  <si>
    <t xml:space="preserve">Backup Admin Separate from Domain?</t>
  </si>
  <si>
    <t xml:space="preserve">Failure Alerts Go To</t>
  </si>
  <si>
    <t xml:space="preserve">Last Successful Restore Test</t>
  </si>
  <si>
    <t xml:space="preserve">Restore Test Status  (calc)</t>
  </si>
  <si>
    <t xml:space="preserve">Measured Restore Time (hrs)</t>
  </si>
  <si>
    <t xml:space="preserve">RTO Gap?  (calc)</t>
  </si>
  <si>
    <t xml:space="preserve">Dropdown pulls from tab 3. Leave blank for infrastructure-only jobs.</t>
  </si>
  <si>
    <t xml:space="preserve">Can an attacker with domain admin delete or encrypt it? If yes, the answer is No.</t>
  </si>
  <si>
    <t xml:space="preserve">Backup server / console not joined to, or authenticated by, the production domain.</t>
  </si>
  <si>
    <t xml:space="preserve">A verified restore, not a green job status.</t>
  </si>
  <si>
    <t xml:space="preserve">From the last real test. Blank = unknown.</t>
  </si>
  <si>
    <t xml:space="preserve">Veeam B&amp;R 12</t>
  </si>
  <si>
    <t xml:space="preserve">Image-based</t>
  </si>
  <si>
    <t xml:space="preserve">Local backup appliance</t>
  </si>
  <si>
    <t xml:space="preserve">Vendor cloud</t>
  </si>
  <si>
    <t xml:space="preserve">helpdesk@ ; RMM ticket</t>
  </si>
  <si>
    <t xml:space="preserve">Accounts you will need when things are broken. DO NOT RECORD PASSWORDS, SECRETS, OR MFA SEEDS IN THIS WORKBOOK — record where they are stored and who can reach them. Key question: can you get to them if the domain, IdP, and password manager are all down?   Row 5 (gray, italic) is an EXAMPLE — overwrite or delete it. Pink columns calculate automatically; don't type in them.</t>
  </si>
  <si>
    <t xml:space="preserve">Account / Credential (name only)</t>
  </si>
  <si>
    <t xml:space="preserve">System</t>
  </si>
  <si>
    <t xml:space="preserve">Account Type</t>
  </si>
  <si>
    <t xml:space="preserve">Purpose</t>
  </si>
  <si>
    <t xml:space="preserve">MFA Enabled?</t>
  </si>
  <si>
    <t xml:space="preserve">MFA Method / Token Location</t>
  </si>
  <si>
    <t xml:space="preserve">Credential Storage Method</t>
  </si>
  <si>
    <t xml:space="preserve">Storage Location Detail</t>
  </si>
  <si>
    <t xml:space="preserve">Who Can Access (min. 2 people)</t>
  </si>
  <si>
    <t xml:space="preserve">Reachable if Domain / IdP / Network Down?</t>
  </si>
  <si>
    <t xml:space="preserve">Last Verified Working</t>
  </si>
  <si>
    <t xml:space="preserve">breakglass01@tenant.onmicrosoft.com</t>
  </si>
  <si>
    <t xml:space="preserve">Microsoft 365 / Entra ID</t>
  </si>
  <si>
    <t xml:space="preserve">Break-glass / emergency</t>
  </si>
  <si>
    <t xml:space="preserve">Tenant recovery if SSO / Conditional Access fails</t>
  </si>
  <si>
    <t xml:space="preserve">FIDO2 key in HQ safe</t>
  </si>
  <si>
    <t xml:space="preserve">Sealed envelope in safe</t>
  </si>
  <si>
    <t xml:space="preserve">HQ safe, CFO office</t>
  </si>
  <si>
    <t xml:space="preserve">CFO; IT Director</t>
  </si>
  <si>
    <t xml:space="preserve">Everyone with a role in a disaster — leadership, IT, department leads, facilities. Capture contact methods that work when corporate email and phones are down. Print or export this tab and keep an offline copy.   Row 5 (gray, italic) is an EXAMPLE — overwrite or delete it. Pink columns calculate automatically; don't type in them.</t>
  </si>
  <si>
    <t xml:space="preserve">Name</t>
  </si>
  <si>
    <t xml:space="preserve">Title</t>
  </si>
  <si>
    <t xml:space="preserve">DR Role</t>
  </si>
  <si>
    <t xml:space="preserve">Systems / Areas of Expertise</t>
  </si>
  <si>
    <t xml:space="preserve">Mobile Phone</t>
  </si>
  <si>
    <t xml:space="preserve">Secondary Phone</t>
  </si>
  <si>
    <t xml:space="preserve">Work Email</t>
  </si>
  <si>
    <t xml:space="preserve">Personal / Out-of-Band Email or Chat</t>
  </si>
  <si>
    <t xml:space="preserve">Home Region / Commute</t>
  </si>
  <si>
    <t xml:space="preserve">Backup / Alternate Person</t>
  </si>
  <si>
    <t xml:space="preserve">Authority to Declare Disaster?</t>
  </si>
  <si>
    <t xml:space="preserve">Emergency Spending Authority?</t>
  </si>
  <si>
    <t xml:space="preserve">Spending Limit ($)</t>
  </si>
  <si>
    <t xml:space="preserve">Reachable if corporate email is down.</t>
  </si>
  <si>
    <t xml:space="preserve">Matters for regional events (weather, site loss).</t>
  </si>
  <si>
    <t xml:space="preserve">Jane Doe</t>
  </si>
  <si>
    <t xml:space="preserve">Controller</t>
  </si>
  <si>
    <t xml:space="preserve">Business Liaison</t>
  </si>
  <si>
    <t xml:space="preserve">Paylocity, AP/AR processes</t>
  </si>
  <si>
    <t xml:space="preserve">(502) 555-0142</t>
  </si>
  <si>
    <t xml:space="preserve">jdoe@example.org</t>
  </si>
  <si>
    <t xml:space="preserve">Signal: same mobile</t>
  </si>
  <si>
    <t xml:space="preserve">Louisville, 20 min</t>
  </si>
  <si>
    <t xml:space="preserve">Tom Ray</t>
  </si>
  <si>
    <t xml:space="preserve">Every outside party you'd call during recovery: MSP / MSSP, ISPs, SaaS and software vendors, hardware support, backup provider, cyber insurer, breach counsel, IR firm, utilities. Account numbers and authorized callers are what slow you down at 2 a.m.   Row 5 (gray, italic) is an EXAMPLE — overwrite or delete it. Pink columns calculate automatically; don't type in them.</t>
  </si>
  <si>
    <t xml:space="preserve">Vendor / Provider</t>
  </si>
  <si>
    <t xml:space="preserve">Services / Products Provided</t>
  </si>
  <si>
    <t xml:space="preserve">Supports Apps / Systems</t>
  </si>
  <si>
    <t xml:space="preserve">Criticality</t>
  </si>
  <si>
    <t xml:space="preserve">Account / Customer #</t>
  </si>
  <si>
    <t xml:space="preserve">Support Portal / Email</t>
  </si>
  <si>
    <t xml:space="preserve">Support Hours</t>
  </si>
  <si>
    <t xml:space="preserve">Contracted SLA / Response Time</t>
  </si>
  <si>
    <t xml:space="preserve">Account Manager / Escalation Contact</t>
  </si>
  <si>
    <t xml:space="preserve">Escalation Phone / Email</t>
  </si>
  <si>
    <t xml:space="preserve">Contract Expiry</t>
  </si>
  <si>
    <t xml:space="preserve">Vendor's Own DR / Resiliency Attested?</t>
  </si>
  <si>
    <t xml:space="preserve">Authorized Callers on Account</t>
  </si>
  <si>
    <t xml:space="preserve">Red = expired, amber = within warning window.</t>
  </si>
  <si>
    <t xml:space="preserve">SOC 2, SLA credits, documented DR — their outage is your outage.</t>
  </si>
  <si>
    <t xml:space="preserve">Who the vendor will actually talk to.</t>
  </si>
  <si>
    <t xml:space="preserve">Cloud / SaaS provider</t>
  </si>
  <si>
    <t xml:space="preserve">Payroll &amp; HR SaaS</t>
  </si>
  <si>
    <t xml:space="preserve">Client ID 00000</t>
  </si>
  <si>
    <t xml:space="preserve">(800) 555-0199</t>
  </si>
  <si>
    <t xml:space="preserve">support.example.com</t>
  </si>
  <si>
    <t xml:space="preserve">Business hours only</t>
  </si>
  <si>
    <t xml:space="preserve">4-hr response, P1</t>
  </si>
  <si>
    <t xml:space="preserve">Chris Patel, CSM</t>
  </si>
  <si>
    <t xml:space="preserve">cpatel@example.com</t>
  </si>
  <si>
    <t xml:space="preserve">Jane Doe; Sam Lee</t>
  </si>
  <si>
    <t xml:space="preserve">Where people and systems go if a site is lost, and what physical resources exist for recovery — alternate offices, colo / cloud recovery regions, work-from-home capacity, spare hardware, and emergency procurement sources.   Row 5 (gray, italic) is an EXAMPLE — overwrite or delete it. Pink columns calculate automatically; don't type in them.</t>
  </si>
  <si>
    <t xml:space="preserve">Location / Resource</t>
  </si>
  <si>
    <t xml:space="preserve">Type</t>
  </si>
  <si>
    <t xml:space="preserve">Address / Region</t>
  </si>
  <si>
    <t xml:space="preserve">Capacity (users or systems)</t>
  </si>
  <si>
    <t xml:space="preserve">Time to Operational (hrs)</t>
  </si>
  <si>
    <t xml:space="preserve">Contact / Owner</t>
  </si>
  <si>
    <t xml:space="preserve">Access Requirements (keys, badges, approvals)</t>
  </si>
  <si>
    <t xml:space="preserve">Network / Power / Generator Available?</t>
  </si>
  <si>
    <t xml:space="preserve">Agreement in Place?</t>
  </si>
  <si>
    <t xml:space="preserve">Branch office – East</t>
  </si>
  <si>
    <t xml:space="preserve">Alternate work site</t>
  </si>
  <si>
    <t xml:space="preserve">123 Main St, Lexington KY</t>
  </si>
  <si>
    <t xml:space="preserve">15 seats</t>
  </si>
  <si>
    <t xml:space="preserve">Office manager, (859) 555-0110</t>
  </si>
  <si>
    <t xml:space="preserve">Badge access for IT; keys with office mgr</t>
  </si>
  <si>
    <t xml:space="preserve">Who gets told what, by whom, and how — assuming corporate email and Teams may be the thing that's down. Include employees, leadership, customers, regulators, insurer, media, and key vendors.   Row 5 (gray, italic) is an EXAMPLE — overwrite or delete it. Pink columns calculate automatically; don't type in them.</t>
  </si>
  <si>
    <t xml:space="preserve">Stakeholder Group</t>
  </si>
  <si>
    <t xml:space="preserve">Who Notifies (role)</t>
  </si>
  <si>
    <t xml:space="preserve">Approval Required From</t>
  </si>
  <si>
    <t xml:space="preserve">Timing / Trigger</t>
  </si>
  <si>
    <t xml:space="preserve">Primary Method</t>
  </si>
  <si>
    <t xml:space="preserve">Backup / Out-of-Band Method</t>
  </si>
  <si>
    <t xml:space="preserve">Contact List Location</t>
  </si>
  <si>
    <t xml:space="preserve">Message Template Location</t>
  </si>
  <si>
    <t xml:space="preserve">Must be reachable offline.</t>
  </si>
  <si>
    <t xml:space="preserve">All employees</t>
  </si>
  <si>
    <t xml:space="preserve">Communications Lead</t>
  </si>
  <si>
    <t xml:space="preserve">Incident Commander</t>
  </si>
  <si>
    <t xml:space="preserve">Within 1 hr of declaration; every 4 hrs</t>
  </si>
  <si>
    <t xml:space="preserve">SMS / mass notification</t>
  </si>
  <si>
    <t xml:space="preserve">Phone tree</t>
  </si>
  <si>
    <t xml:space="preserve">Tab 9 printout; mass-notify platform</t>
  </si>
  <si>
    <t xml:space="preserve">Printed DR binder, section 4</t>
  </si>
  <si>
    <t xml:space="preserve">Log anything you couldn't answer, didn't like the answer to, or flagged red elsewhere. This list becomes the remediation roadmap that accompanies the DR plan.   Row 5 (gray, italic) is an EXAMPLE — overwrite or delete it. Pink columns calculate automatically; don't type in them.</t>
  </si>
  <si>
    <t xml:space="preserve">ID</t>
  </si>
  <si>
    <t xml:space="preserve">Tab / Area</t>
  </si>
  <si>
    <t xml:space="preserve">Finding / Gap / Open Question</t>
  </si>
  <si>
    <t xml:space="preserve">Risk Level</t>
  </si>
  <si>
    <t xml:space="preserve">Recommended Action</t>
  </si>
  <si>
    <t xml:space="preserve">Owner</t>
  </si>
  <si>
    <t xml:space="preserve">Target Date</t>
  </si>
  <si>
    <t xml:space="preserve">Status</t>
  </si>
  <si>
    <t xml:space="preserve">G-001</t>
  </si>
  <si>
    <t xml:space="preserve">Backup console authenticates to production AD; ransomware could delete backups</t>
  </si>
  <si>
    <t xml:space="preserve">Critical</t>
  </si>
  <si>
    <t xml:space="preserve">Move backup server to workgroup, enable MFA, add immutable cloud copy</t>
  </si>
  <si>
    <t xml:space="preserve">Open</t>
  </si>
  <si>
    <t xml:space="preserve">Thresholds (edit to match your organization)</t>
  </si>
  <si>
    <t xml:space="preserve">Dropdown values (add items to the end of a list to extend it)</t>
  </si>
  <si>
    <t xml:space="preserve">Tier 1 = max tolerable downtime up to (hours)</t>
  </si>
  <si>
    <t xml:space="preserve">YesNo</t>
  </si>
  <si>
    <t xml:space="preserve">Impact</t>
  </si>
  <si>
    <t xml:space="preserve">Tier</t>
  </si>
  <si>
    <t xml:space="preserve">Hosting</t>
  </si>
  <si>
    <t xml:space="preserve">AuthMethod</t>
  </si>
  <si>
    <t xml:space="preserve">Regulatory</t>
  </si>
  <si>
    <t xml:space="preserve">AssetType</t>
  </si>
  <si>
    <t xml:space="preserve">RecoveryMethod</t>
  </si>
  <si>
    <t xml:space="preserve">NetCategory</t>
  </si>
  <si>
    <t xml:space="preserve">BackupMethod</t>
  </si>
  <si>
    <t xml:space="preserve">BackupTarget</t>
  </si>
  <si>
    <t xml:space="preserve">AcctType</t>
  </si>
  <si>
    <t xml:space="preserve">CredStorage</t>
  </si>
  <si>
    <t xml:space="preserve">DRRole</t>
  </si>
  <si>
    <t xml:space="preserve">VendorCat</t>
  </si>
  <si>
    <t xml:space="preserve">SupportHours</t>
  </si>
  <si>
    <t xml:space="preserve">SiteType</t>
  </si>
  <si>
    <t xml:space="preserve">CommMethod</t>
  </si>
  <si>
    <t xml:space="preserve">Tier 2 = up to (hours)</t>
  </si>
  <si>
    <t xml:space="preserve">Tier 1</t>
  </si>
  <si>
    <t xml:space="preserve">On-premises</t>
  </si>
  <si>
    <t xml:space="preserve">Active Directory</t>
  </si>
  <si>
    <t xml:space="preserve">Public</t>
  </si>
  <si>
    <t xml:space="preserve">Physical server</t>
  </si>
  <si>
    <t xml:space="preserve">Password manager (cloud)</t>
  </si>
  <si>
    <t xml:space="preserve">Executive Sponsor</t>
  </si>
  <si>
    <t xml:space="preserve">MSP / MSSP</t>
  </si>
  <si>
    <t xml:space="preserve">24x7x365</t>
  </si>
  <si>
    <t xml:space="preserve">Primary site</t>
  </si>
  <si>
    <t xml:space="preserve">Tier 3 = up to (hours); anything longer is Tier 4</t>
  </si>
  <si>
    <t xml:space="preserve">Tier 2</t>
  </si>
  <si>
    <t xml:space="preserve">Private cloud / colo</t>
  </si>
  <si>
    <t xml:space="preserve">Internal</t>
  </si>
  <si>
    <t xml:space="preserve">HIPAA</t>
  </si>
  <si>
    <t xml:space="preserve">Failover to replica</t>
  </si>
  <si>
    <t xml:space="preserve">MPLS / private WAN</t>
  </si>
  <si>
    <t xml:space="preserve">File-level</t>
  </si>
  <si>
    <t xml:space="preserve">NAS / SAN</t>
  </si>
  <si>
    <t xml:space="preserve">Global / domain admin</t>
  </si>
  <si>
    <t xml:space="preserve">Password manager (offline / local vault)</t>
  </si>
  <si>
    <t xml:space="preserve">ISP / carrier</t>
  </si>
  <si>
    <t xml:space="preserve">Business hours + on-call</t>
  </si>
  <si>
    <t xml:space="preserve">In Progress</t>
  </si>
  <si>
    <t xml:space="preserve">Restore test is STALE after (days)</t>
  </si>
  <si>
    <t xml:space="preserve">Unknown</t>
  </si>
  <si>
    <t xml:space="preserve">IaaS (Azure / AWS / GCP)</t>
  </si>
  <si>
    <t xml:space="preserve">Other IdP (Okta, Duo, etc.)</t>
  </si>
  <si>
    <t xml:space="preserve">PCI DSS</t>
  </si>
  <si>
    <t xml:space="preserve">Hypervisor host</t>
  </si>
  <si>
    <t xml:space="preserve">Rebuild from documentation</t>
  </si>
  <si>
    <t xml:space="preserve">SD-WAN</t>
  </si>
  <si>
    <t xml:space="preserve">Application-aware (SQL, etc.)</t>
  </si>
  <si>
    <t xml:space="preserve">Hypervisor root / admin</t>
  </si>
  <si>
    <t xml:space="preserve">Deputy Incident Commander</t>
  </si>
  <si>
    <t xml:space="preserve">Recovery datacenter / colo</t>
  </si>
  <si>
    <t xml:space="preserve">Email</t>
  </si>
  <si>
    <t xml:space="preserve">Resolved</t>
  </si>
  <si>
    <t xml:space="preserve">Warn on expiring contracts / warranties / domains within (days)</t>
  </si>
  <si>
    <t xml:space="preserve">Low</t>
  </si>
  <si>
    <t xml:space="preserve">Tier 4</t>
  </si>
  <si>
    <t xml:space="preserve">Local application accounts</t>
  </si>
  <si>
    <t xml:space="preserve">Restricted / Regulated</t>
  </si>
  <si>
    <t xml:space="preserve">CMMC / DFARS (CUI)</t>
  </si>
  <si>
    <t xml:space="preserve">Storage (SAN / NAS)</t>
  </si>
  <si>
    <t xml:space="preserve">Redeploy from template / IaC</t>
  </si>
  <si>
    <t xml:space="preserve">Site-to-site VPN</t>
  </si>
  <si>
    <t xml:space="preserve">SaaS-to-SaaS (M365, Google)</t>
  </si>
  <si>
    <t xml:space="preserve">Customer-owned cloud storage</t>
  </si>
  <si>
    <t xml:space="preserve">Backup console admin</t>
  </si>
  <si>
    <t xml:space="preserve">Hardware token / key</t>
  </si>
  <si>
    <t xml:space="preserve">Technical Recovery Lead</t>
  </si>
  <si>
    <t xml:space="preserve">Hardware vendor</t>
  </si>
  <si>
    <t xml:space="preserve">Best effort</t>
  </si>
  <si>
    <t xml:space="preserve">Cloud recovery region</t>
  </si>
  <si>
    <t xml:space="preserve">Teams / Slack</t>
  </si>
  <si>
    <t xml:space="preserve">Accepted Risk</t>
  </si>
  <si>
    <t xml:space="preserve">Hybrid</t>
  </si>
  <si>
    <t xml:space="preserve">FERPA</t>
  </si>
  <si>
    <t xml:space="preserve">Firewall</t>
  </si>
  <si>
    <t xml:space="preserve">Vendor-managed recovery</t>
  </si>
  <si>
    <t xml:space="preserve">Remote access VPN / ZTNA</t>
  </si>
  <si>
    <t xml:space="preserve">Snapshot</t>
  </si>
  <si>
    <t xml:space="preserve">Tape</t>
  </si>
  <si>
    <t xml:space="preserve">Firewall / network admin</t>
  </si>
  <si>
    <t xml:space="preserve">Split knowledge (two people)</t>
  </si>
  <si>
    <t xml:space="preserve">Software vendor</t>
  </si>
  <si>
    <t xml:space="preserve">Work-from-home</t>
  </si>
  <si>
    <t xml:space="preserve">Out-of-band chat (Signal, etc.)</t>
  </si>
  <si>
    <t xml:space="preserve">CJIS</t>
  </si>
  <si>
    <t xml:space="preserve">Switch</t>
  </si>
  <si>
    <t xml:space="preserve">Replace hardware</t>
  </si>
  <si>
    <t xml:space="preserve">Domain registrar</t>
  </si>
  <si>
    <t xml:space="preserve">Replication</t>
  </si>
  <si>
    <t xml:space="preserve">Removable media</t>
  </si>
  <si>
    <t xml:space="preserve">Registrar / DNS portal</t>
  </si>
  <si>
    <t xml:space="preserve">Backup / DR provider</t>
  </si>
  <si>
    <t xml:space="preserve">Spare hardware cache</t>
  </si>
  <si>
    <t xml:space="preserve">Status page / website</t>
  </si>
  <si>
    <t xml:space="preserve">GLBA</t>
  </si>
  <si>
    <t xml:space="preserve">Router / SD-WAN</t>
  </si>
  <si>
    <t xml:space="preserve">Public DNS hosting</t>
  </si>
  <si>
    <t xml:space="preserve">Config export</t>
  </si>
  <si>
    <t xml:space="preserve">Cloud subscription owner</t>
  </si>
  <si>
    <t xml:space="preserve">Legal / Compliance</t>
  </si>
  <si>
    <t xml:space="preserve">Cyber insurance carrier</t>
  </si>
  <si>
    <t xml:space="preserve">Emergency procurement source</t>
  </si>
  <si>
    <t xml:space="preserve">Press release / media</t>
  </si>
  <si>
    <t xml:space="preserve">SOX</t>
  </si>
  <si>
    <t xml:space="preserve">Wireless controller / AP</t>
  </si>
  <si>
    <t xml:space="preserve">Internal DNS / DHCP</t>
  </si>
  <si>
    <t xml:space="preserve">Other</t>
  </si>
  <si>
    <t xml:space="preserve">Service account</t>
  </si>
  <si>
    <t xml:space="preserve">Vendor Coordinator</t>
  </si>
  <si>
    <t xml:space="preserve">Breach counsel</t>
  </si>
  <si>
    <t xml:space="preserve">In person</t>
  </si>
  <si>
    <t xml:space="preserve">State privacy law</t>
  </si>
  <si>
    <t xml:space="preserve">Cloud tenant / subscription</t>
  </si>
  <si>
    <t xml:space="preserve">SSL / TLS certificate</t>
  </si>
  <si>
    <t xml:space="preserve">Vendor portal</t>
  </si>
  <si>
    <t xml:space="preserve">Recovery Team Member</t>
  </si>
  <si>
    <t xml:space="preserve">Incident response firm</t>
  </si>
  <si>
    <t xml:space="preserve">Multiple</t>
  </si>
  <si>
    <t xml:space="preserve">Critical workstation</t>
  </si>
  <si>
    <t xml:space="preserve">Email routing / MX / filtering</t>
  </si>
  <si>
    <t xml:space="preserve">Utility / facilities</t>
  </si>
  <si>
    <t xml:space="preserve">Telephony / VoIP</t>
  </si>
</sst>
</file>

<file path=xl/styles.xml><?xml version="1.0" encoding="utf-8"?>
<styleSheet xmlns="http://schemas.openxmlformats.org/spreadsheetml/2006/main">
  <numFmts count="5">
    <numFmt numFmtId="164" formatCode="General"/>
    <numFmt numFmtId="165" formatCode="General"/>
    <numFmt numFmtId="166" formatCode="#,##0.##"/>
    <numFmt numFmtId="167" formatCode="yyyy\-mm\-dd"/>
    <numFmt numFmtId="168" formatCode="\$#,##0"/>
  </numFmts>
  <fonts count="29">
    <font>
      <sz val="11"/>
      <color theme="1"/>
      <name val="Calibri"/>
      <family val="2"/>
      <charset val="1"/>
    </font>
    <font>
      <sz val="10"/>
      <name val="Arial"/>
      <family val="0"/>
    </font>
    <font>
      <sz val="10"/>
      <name val="Arial"/>
      <family val="0"/>
    </font>
    <font>
      <sz val="10"/>
      <name val="Arial"/>
      <family val="0"/>
    </font>
    <font>
      <b val="true"/>
      <sz val="24"/>
      <color rgb="FF00D8FF"/>
      <name val="Arial"/>
      <family val="0"/>
      <charset val="1"/>
    </font>
    <font>
      <i val="true"/>
      <sz val="9"/>
      <color rgb="FF808080"/>
      <name val="Arial"/>
      <family val="0"/>
      <charset val="1"/>
    </font>
    <font>
      <b val="true"/>
      <sz val="16"/>
      <color rgb="FFFFFFFF"/>
      <name val="Arial"/>
      <family val="0"/>
      <charset val="1"/>
    </font>
    <font>
      <sz val="10"/>
      <color rgb="FFD9D9D9"/>
      <name val="Arial"/>
      <family val="0"/>
      <charset val="1"/>
    </font>
    <font>
      <b val="true"/>
      <sz val="10"/>
      <name val="Arial"/>
      <family val="0"/>
      <charset val="1"/>
    </font>
    <font>
      <b val="true"/>
      <sz val="11"/>
      <name val="Arial"/>
      <family val="0"/>
      <charset val="1"/>
    </font>
    <font>
      <i val="true"/>
      <sz val="8"/>
      <color rgb="FF808080"/>
      <name val="Arial"/>
      <family val="0"/>
      <charset val="1"/>
    </font>
    <font>
      <b val="true"/>
      <sz val="12"/>
      <color rgb="FF00D8FF"/>
      <name val="Arial"/>
      <family val="0"/>
      <charset val="1"/>
    </font>
    <font>
      <sz val="10"/>
      <name val="Arial"/>
      <family val="0"/>
      <charset val="1"/>
    </font>
    <font>
      <i val="true"/>
      <sz val="9"/>
      <color rgb="FF595959"/>
      <name val="Arial"/>
      <family val="0"/>
      <charset val="1"/>
    </font>
    <font>
      <b val="true"/>
      <sz val="11"/>
      <color rgb="FFFFFFFF"/>
      <name val="Arial"/>
      <family val="0"/>
      <charset val="1"/>
    </font>
    <font>
      <b val="true"/>
      <u val="single"/>
      <sz val="10"/>
      <color rgb="FF0563C1"/>
      <name val="Arial"/>
      <family val="0"/>
      <charset val="1"/>
    </font>
    <font>
      <sz val="8"/>
      <color rgb="FFA6A6A6"/>
      <name val="Arial"/>
      <family val="0"/>
      <charset val="1"/>
    </font>
    <font>
      <b val="true"/>
      <sz val="16"/>
      <color rgb="FF00D8FF"/>
      <name val="Arial"/>
      <family val="0"/>
      <charset val="1"/>
    </font>
    <font>
      <sz val="10"/>
      <color rgb="FFFFFFFF"/>
      <name val="Arial"/>
      <family val="0"/>
      <charset val="1"/>
    </font>
    <font>
      <b val="true"/>
      <sz val="11"/>
      <color rgb="FF00D8FF"/>
      <name val="Arial"/>
      <family val="0"/>
      <charset val="1"/>
    </font>
    <font>
      <b val="true"/>
      <sz val="10"/>
      <color rgb="FF00D8FF"/>
      <name val="Arial"/>
      <family val="0"/>
      <charset val="1"/>
    </font>
    <font>
      <b val="true"/>
      <sz val="10"/>
      <color rgb="FFFF2BD6"/>
      <name val="Arial"/>
      <family val="0"/>
      <charset val="1"/>
    </font>
    <font>
      <i val="true"/>
      <sz val="8"/>
      <color rgb="FF595959"/>
      <name val="Arial"/>
      <family val="0"/>
      <charset val="1"/>
    </font>
    <font>
      <b val="true"/>
      <i val="true"/>
      <sz val="9"/>
      <name val="Arial"/>
      <family val="0"/>
      <charset val="1"/>
    </font>
    <font>
      <sz val="9"/>
      <color rgb="FF000000"/>
      <name val="Arial"/>
      <family val="0"/>
      <charset val="1"/>
    </font>
    <font>
      <b val="true"/>
      <sz val="9"/>
      <name val="Arial"/>
      <family val="0"/>
      <charset val="1"/>
    </font>
    <font>
      <b val="true"/>
      <sz val="12"/>
      <name val="Arial"/>
      <family val="0"/>
      <charset val="1"/>
    </font>
    <font>
      <sz val="11"/>
      <name val="Arial"/>
      <family val="0"/>
      <charset val="1"/>
    </font>
    <font>
      <b val="true"/>
      <sz val="11"/>
      <color rgb="FF0000FF"/>
      <name val="Arial"/>
      <family val="0"/>
      <charset val="1"/>
    </font>
  </fonts>
  <fills count="13">
    <fill>
      <patternFill patternType="none"/>
    </fill>
    <fill>
      <patternFill patternType="gray125"/>
    </fill>
    <fill>
      <patternFill patternType="solid">
        <fgColor rgb="FF0A0A0A"/>
        <bgColor rgb="FF000000"/>
      </patternFill>
    </fill>
    <fill>
      <patternFill patternType="solid">
        <fgColor rgb="FFFFFFFF"/>
        <bgColor rgb="FFF5F5F5"/>
      </patternFill>
    </fill>
    <fill>
      <patternFill patternType="solid">
        <fgColor rgb="FFEAFBFF"/>
        <bgColor rgb="FFF5F5F5"/>
      </patternFill>
    </fill>
    <fill>
      <patternFill patternType="solid">
        <fgColor rgb="FFFDE7F8"/>
        <bgColor rgb="FFEDEDED"/>
      </patternFill>
    </fill>
    <fill>
      <patternFill patternType="solid">
        <fgColor rgb="FFEDEDED"/>
        <bgColor rgb="FFF5F5F5"/>
      </patternFill>
    </fill>
    <fill>
      <patternFill patternType="solid">
        <fgColor rgb="FFF8C9C9"/>
        <bgColor rgb="FFD9D9D9"/>
      </patternFill>
    </fill>
    <fill>
      <patternFill patternType="solid">
        <fgColor rgb="FFFFEB9C"/>
        <bgColor rgb="FFEDEDED"/>
      </patternFill>
    </fill>
    <fill>
      <patternFill patternType="solid">
        <fgColor rgb="FFC6EFCE"/>
        <bgColor rgb="FFD9D9D9"/>
      </patternFill>
    </fill>
    <fill>
      <patternFill patternType="solid">
        <fgColor rgb="FF333333"/>
        <bgColor rgb="FF1F1F1F"/>
      </patternFill>
    </fill>
    <fill>
      <patternFill patternType="solid">
        <fgColor rgb="FF1F1F1F"/>
        <bgColor rgb="FF333333"/>
      </patternFill>
    </fill>
    <fill>
      <patternFill patternType="solid">
        <fgColor rgb="FFF5F5F5"/>
        <bgColor rgb="FFEDEDED"/>
      </patternFill>
    </fill>
  </fills>
  <borders count="4">
    <border diagonalUp="false" diagonalDown="false">
      <left/>
      <right/>
      <top/>
      <bottom/>
      <diagonal/>
    </border>
    <border diagonalUp="false" diagonalDown="false">
      <left style="dashed">
        <color rgb="FF00D8FF"/>
      </left>
      <right style="dashed">
        <color rgb="FF00D8FF"/>
      </right>
      <top style="dashed">
        <color rgb="FF00D8FF"/>
      </top>
      <bottom style="dashed">
        <color rgb="FF00D8F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style="medium">
        <color rgb="FFFF2B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9" fillId="4" borderId="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8" fillId="4" borderId="2" xfId="0" applyFont="true" applyBorder="true" applyAlignment="false" applyProtection="false">
      <alignment horizontal="general" vertical="bottom" textRotation="0" wrapText="fals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4" fontId="8" fillId="5" borderId="2" xfId="0" applyFont="true" applyBorder="true" applyAlignment="false" applyProtection="false">
      <alignment horizontal="general" vertical="bottom" textRotation="0" wrapText="false" indent="0" shrinkToFit="false"/>
      <protection locked="true" hidden="false"/>
    </xf>
    <xf numFmtId="164" fontId="8" fillId="6" borderId="2" xfId="0" applyFont="true" applyBorder="true" applyAlignment="false" applyProtection="false">
      <alignment horizontal="general" vertical="bottom" textRotation="0" wrapText="false" indent="0" shrinkToFit="false"/>
      <protection locked="true" hidden="false"/>
    </xf>
    <xf numFmtId="164" fontId="8" fillId="7" borderId="2" xfId="0" applyFont="true" applyBorder="true" applyAlignment="false" applyProtection="false">
      <alignment horizontal="general" vertical="bottom" textRotation="0" wrapText="false" indent="0" shrinkToFit="false"/>
      <protection locked="true" hidden="false"/>
    </xf>
    <xf numFmtId="164" fontId="8" fillId="8" borderId="2" xfId="0" applyFont="true" applyBorder="true" applyAlignment="false" applyProtection="false">
      <alignment horizontal="general" vertical="bottom" textRotation="0" wrapText="false" indent="0" shrinkToFit="false"/>
      <protection locked="true" hidden="false"/>
    </xf>
    <xf numFmtId="164" fontId="8" fillId="9"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10" borderId="2" xfId="0" applyFont="true" applyBorder="true" applyAlignment="fals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left" vertical="top" textRotation="0" wrapText="true" indent="0" shrinkToFit="false"/>
      <protection locked="true" hidden="false"/>
    </xf>
    <xf numFmtId="164" fontId="12" fillId="0" borderId="2" xfId="0" applyFont="true" applyBorder="true" applyAlignment="true" applyProtection="false">
      <alignment horizontal="left" vertical="top" textRotation="0" wrapText="true" indent="0" shrinkToFit="false"/>
      <protection locked="true" hidden="false"/>
    </xf>
    <xf numFmtId="164" fontId="8" fillId="5" borderId="2" xfId="0" applyFont="true" applyBorder="true" applyAlignment="true" applyProtection="false">
      <alignment horizontal="left" vertical="top" textRotation="0" wrapText="true" indent="0" shrinkToFit="false"/>
      <protection locked="true" hidden="false"/>
    </xf>
    <xf numFmtId="165" fontId="9" fillId="5" borderId="2" xfId="0" applyFont="true" applyBorder="true" applyAlignment="true" applyProtection="false">
      <alignment horizontal="center" vertical="bottom" textRotation="0" wrapText="false" indent="0" shrinkToFit="false"/>
      <protection locked="true" hidden="false"/>
    </xf>
    <xf numFmtId="164" fontId="13" fillId="0" borderId="2" xfId="0" applyFont="true" applyBorder="true" applyAlignment="true" applyProtection="false">
      <alignment horizontal="general" vertical="bottom" textRotation="0" wrapText="true" indent="0" shrinkToFit="false"/>
      <protection locked="true" hidden="false"/>
    </xf>
    <xf numFmtId="164" fontId="16" fillId="0" borderId="0" xfId="0" applyFont="true" applyBorder="true" applyAlignment="true" applyProtection="false">
      <alignment horizontal="right" vertical="bottom" textRotation="0" wrapText="false" indent="0" shrinkToFit="false"/>
      <protection locked="true" hidden="false"/>
    </xf>
    <xf numFmtId="164" fontId="17" fillId="2" borderId="0" xfId="0" applyFont="true" applyBorder="true" applyAlignment="true" applyProtection="false">
      <alignment horizontal="general" vertical="center" textRotation="0" wrapText="false" indent="1" shrinkToFit="false"/>
      <protection locked="true" hidden="false"/>
    </xf>
    <xf numFmtId="164" fontId="18" fillId="11" borderId="0" xfId="0" applyFont="true" applyBorder="true" applyAlignment="true" applyProtection="false">
      <alignment horizontal="general" vertical="center" textRotation="0" wrapText="true" indent="1" shrinkToFit="false"/>
      <protection locked="true" hidden="false"/>
    </xf>
    <xf numFmtId="164" fontId="19" fillId="2" borderId="3" xfId="0" applyFont="true" applyBorder="true" applyAlignment="false" applyProtection="false">
      <alignment horizontal="general" vertical="bottom" textRotation="0" wrapText="false" indent="0" shrinkToFit="false"/>
      <protection locked="true" hidden="false"/>
    </xf>
    <xf numFmtId="164" fontId="14" fillId="10" borderId="0"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12" fillId="4" borderId="2" xfId="0" applyFont="true" applyBorder="true" applyAlignment="true" applyProtection="false">
      <alignment horizontal="general" vertical="top" textRotation="0" wrapText="tru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4" fontId="20" fillId="2" borderId="3" xfId="0" applyFont="true" applyBorder="true" applyAlignment="true" applyProtection="false">
      <alignment horizontal="center" vertical="center" textRotation="0" wrapText="true" indent="0" shrinkToFit="false"/>
      <protection locked="true" hidden="false"/>
    </xf>
    <xf numFmtId="164" fontId="21" fillId="2" borderId="3" xfId="0" applyFont="true" applyBorder="true" applyAlignment="true" applyProtection="false">
      <alignment horizontal="center" vertical="center" textRotation="0" wrapText="true" indent="0" shrinkToFit="false"/>
      <protection locked="true" hidden="false"/>
    </xf>
    <xf numFmtId="164" fontId="22" fillId="12" borderId="2" xfId="0" applyFont="true" applyBorder="true" applyAlignment="true" applyProtection="false">
      <alignment horizontal="general" vertical="top" textRotation="0" wrapText="true" indent="0" shrinkToFit="false"/>
      <protection locked="true" hidden="false"/>
    </xf>
    <xf numFmtId="164" fontId="13" fillId="6" borderId="2" xfId="0" applyFont="true" applyBorder="true" applyAlignment="true" applyProtection="false">
      <alignment horizontal="general" vertical="top" textRotation="0" wrapText="true" indent="0" shrinkToFit="false"/>
      <protection locked="true" hidden="false"/>
    </xf>
    <xf numFmtId="166" fontId="13" fillId="6" borderId="2" xfId="0" applyFont="true" applyBorder="true" applyAlignment="true" applyProtection="false">
      <alignment horizontal="general" vertical="top" textRotation="0" wrapText="true" indent="0" shrinkToFit="false"/>
      <protection locked="true" hidden="false"/>
    </xf>
    <xf numFmtId="164" fontId="23" fillId="5" borderId="2" xfId="0" applyFont="true" applyBorder="true" applyAlignment="true" applyProtection="false">
      <alignment horizontal="general" vertical="top" textRotation="0" wrapText="true" indent="0" shrinkToFit="false"/>
      <protection locked="true" hidden="false"/>
    </xf>
    <xf numFmtId="164" fontId="24" fillId="4" borderId="2" xfId="0" applyFont="true" applyBorder="true" applyAlignment="true" applyProtection="false">
      <alignment horizontal="general" vertical="top" textRotation="0" wrapText="true" indent="0" shrinkToFit="false"/>
      <protection locked="true" hidden="false"/>
    </xf>
    <xf numFmtId="166" fontId="24" fillId="4" borderId="2" xfId="0" applyFont="true" applyBorder="true" applyAlignment="true" applyProtection="false">
      <alignment horizontal="general" vertical="top" textRotation="0" wrapText="true" indent="0" shrinkToFit="false"/>
      <protection locked="true" hidden="false"/>
    </xf>
    <xf numFmtId="164" fontId="25" fillId="5" borderId="2" xfId="0" applyFont="true" applyBorder="true" applyAlignment="true" applyProtection="false">
      <alignment horizontal="general" vertical="top" textRotation="0" wrapText="true" indent="0" shrinkToFit="false"/>
      <protection locked="true" hidden="false"/>
    </xf>
    <xf numFmtId="167" fontId="13" fillId="6" borderId="2" xfId="0" applyFont="true" applyBorder="true" applyAlignment="true" applyProtection="false">
      <alignment horizontal="general" vertical="top" textRotation="0" wrapText="true" indent="0" shrinkToFit="false"/>
      <protection locked="true" hidden="false"/>
    </xf>
    <xf numFmtId="167" fontId="24" fillId="4" borderId="2" xfId="0" applyFont="true" applyBorder="true" applyAlignment="true" applyProtection="false">
      <alignment horizontal="general" vertical="top" textRotation="0" wrapText="true" indent="0" shrinkToFit="false"/>
      <protection locked="true" hidden="false"/>
    </xf>
    <xf numFmtId="168" fontId="13" fillId="6" borderId="2" xfId="0" applyFont="true" applyBorder="true" applyAlignment="true" applyProtection="false">
      <alignment horizontal="general" vertical="top" textRotation="0" wrapText="true" indent="0" shrinkToFit="false"/>
      <protection locked="true" hidden="false"/>
    </xf>
    <xf numFmtId="168" fontId="24" fillId="4" borderId="2" xfId="0" applyFont="true" applyBorder="true" applyAlignment="true" applyProtection="false">
      <alignment horizontal="general" vertical="top"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4"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9C0006"/>
      </font>
      <fill>
        <patternFill>
          <bgColor rgb="FFF8C9C9"/>
        </patternFill>
      </fill>
    </dxf>
    <dxf>
      <font>
        <name val="Arial"/>
        <charset val="1"/>
        <family val="0"/>
        <b val="1"/>
        <color rgb="FF006100"/>
      </font>
      <fill>
        <patternFill>
          <bgColor rgb="FFC6EFCE"/>
        </patternFill>
      </fill>
    </dxf>
    <dxf>
      <font>
        <name val="Arial"/>
        <charset val="1"/>
        <family val="0"/>
        <b val="1"/>
        <color rgb="FF9C5700"/>
      </font>
      <fill>
        <patternFill>
          <bgColor rgb="FFFFEB9C"/>
        </patternFill>
      </fill>
    </dxf>
  </dxfs>
  <colors>
    <indexedColors>
      <rgbColor rgb="FF000000"/>
      <rgbColor rgb="FFFFFFFF"/>
      <rgbColor rgb="FFFF0000"/>
      <rgbColor rgb="FF00FF00"/>
      <rgbColor rgb="FF0000FF"/>
      <rgbColor rgb="FFFFFF00"/>
      <rgbColor rgb="FFFF2BD6"/>
      <rgbColor rgb="FF00FFFF"/>
      <rgbColor rgb="FF9C0006"/>
      <rgbColor rgb="FF006100"/>
      <rgbColor rgb="FF000080"/>
      <rgbColor rgb="FF808000"/>
      <rgbColor rgb="FF800080"/>
      <rgbColor rgb="FF008080"/>
      <rgbColor rgb="FFBFBFBF"/>
      <rgbColor rgb="FF808080"/>
      <rgbColor rgb="FF9999FF"/>
      <rgbColor rgb="FF993366"/>
      <rgbColor rgb="FFF5F5F5"/>
      <rgbColor rgb="FFEAFBFF"/>
      <rgbColor rgb="FF660066"/>
      <rgbColor rgb="FFFF8080"/>
      <rgbColor rgb="FF0563C1"/>
      <rgbColor rgb="FFD9D9D9"/>
      <rgbColor rgb="FF000080"/>
      <rgbColor rgb="FFFF00FF"/>
      <rgbColor rgb="FFFFFF00"/>
      <rgbColor rgb="FF00FFFF"/>
      <rgbColor rgb="FF800080"/>
      <rgbColor rgb="FF800000"/>
      <rgbColor rgb="FF008080"/>
      <rgbColor rgb="FF0000FF"/>
      <rgbColor rgb="FF00D8FF"/>
      <rgbColor rgb="FFEDEDED"/>
      <rgbColor rgb="FFC6EFCE"/>
      <rgbColor rgb="FFFFEB9C"/>
      <rgbColor rgb="FFFDE7F8"/>
      <rgbColor rgb="FFFF99CC"/>
      <rgbColor rgb="FFCC99FF"/>
      <rgbColor rgb="FFF8C9C9"/>
      <rgbColor rgb="FF3366FF"/>
      <rgbColor rgb="FF33CCCC"/>
      <rgbColor rgb="FF99CC00"/>
      <rgbColor rgb="FFFFCC00"/>
      <rgbColor rgb="FFFF9900"/>
      <rgbColor rgb="FFFF6600"/>
      <rgbColor rgb="FF595959"/>
      <rgbColor rgb="FFA6A6A6"/>
      <rgbColor rgb="FF003366"/>
      <rgbColor rgb="FF339966"/>
      <rgbColor rgb="FF0A0A0A"/>
      <rgbColor rgb="FF1F1F1F"/>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DR_Plan_Intake_Workbook_v1.0.xlsx" TargetMode="External"/><Relationship Id="rId2" Type="http://schemas.openxmlformats.org/officeDocument/2006/relationships/hyperlink" Target="DR_Plan_Intake_Workbook_v1.0.xlsx" TargetMode="External"/><Relationship Id="rId3" Type="http://schemas.openxmlformats.org/officeDocument/2006/relationships/hyperlink" Target="DR_Plan_Intake_Workbook_v1.0.xlsx" TargetMode="External"/><Relationship Id="rId4" Type="http://schemas.openxmlformats.org/officeDocument/2006/relationships/hyperlink" Target="DR_Plan_Intake_Workbook_v1.0.xlsx" TargetMode="External"/><Relationship Id="rId5" Type="http://schemas.openxmlformats.org/officeDocument/2006/relationships/hyperlink" Target="DR_Plan_Intake_Workbook_v1.0.xlsx" TargetMode="External"/><Relationship Id="rId6" Type="http://schemas.openxmlformats.org/officeDocument/2006/relationships/hyperlink" Target="DR_Plan_Intake_Workbook_v1.0.xlsx" TargetMode="External"/><Relationship Id="rId7" Type="http://schemas.openxmlformats.org/officeDocument/2006/relationships/hyperlink" Target="DR_Plan_Intake_Workbook_v1.0.xlsx" TargetMode="External"/><Relationship Id="rId8" Type="http://schemas.openxmlformats.org/officeDocument/2006/relationships/hyperlink" Target="DR_Plan_Intake_Workbook_v1.0.xlsx" TargetMode="External"/><Relationship Id="rId9" Type="http://schemas.openxmlformats.org/officeDocument/2006/relationships/hyperlink" Target="DR_Plan_Intake_Workbook_v1.0.xlsx" TargetMode="External"/><Relationship Id="rId10" Type="http://schemas.openxmlformats.org/officeDocument/2006/relationships/hyperlink" Target="DR_Plan_Intake_Workbook_v1.0.xlsx" TargetMode="External"/><Relationship Id="rId11" Type="http://schemas.openxmlformats.org/officeDocument/2006/relationships/hyperlink" Target="DR_Plan_Intake_Workbook_v1.0.xlsx" TargetMode="External"/><Relationship Id="rId12" Type="http://schemas.openxmlformats.org/officeDocument/2006/relationships/hyperlink" Target="DR_Plan_Intake_Workbook_v1.0.xlsx" TargetMode="External"/><Relationship Id="rId13" Type="http://schemas.openxmlformats.org/officeDocument/2006/relationships/hyperlink" Target="DR_Plan_Intake_Workbook_v1.0.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0A0A"/>
    <pageSetUpPr fitToPage="true"/>
  </sheetPr>
  <dimension ref="A1:E6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62"/>
    <col collapsed="false" customWidth="true" hidden="false" outlineLevel="0" max="4" min="4" style="0" width="22"/>
    <col collapsed="false" customWidth="true" hidden="false" outlineLevel="0" max="5" min="5" style="0" width="40"/>
  </cols>
  <sheetData>
    <row r="1" customFormat="false" ht="39.75" hidden="false" customHeight="true" outlineLevel="0" collapsed="false">
      <c r="A1" s="1"/>
      <c r="B1" s="2" t="s">
        <v>0</v>
      </c>
      <c r="C1" s="2"/>
      <c r="D1" s="2"/>
      <c r="E1" s="3" t="s">
        <v>1</v>
      </c>
    </row>
    <row r="2" customFormat="false" ht="25.5" hidden="false" customHeight="true" outlineLevel="0" collapsed="false">
      <c r="A2" s="1"/>
      <c r="B2" s="4" t="s">
        <v>2</v>
      </c>
      <c r="C2" s="4"/>
      <c r="D2" s="4"/>
      <c r="E2" s="3"/>
    </row>
    <row r="3" customFormat="false" ht="21.75" hidden="false" customHeight="true" outlineLevel="0" collapsed="false">
      <c r="A3" s="1"/>
      <c r="B3" s="5" t="s">
        <v>3</v>
      </c>
      <c r="C3" s="5"/>
      <c r="D3" s="5"/>
      <c r="E3" s="3"/>
    </row>
    <row r="5" customFormat="false" ht="19.5" hidden="false" customHeight="true" outlineLevel="0" collapsed="false">
      <c r="B5" s="6" t="s">
        <v>4</v>
      </c>
      <c r="C5" s="7"/>
      <c r="D5" s="8" t="s">
        <v>5</v>
      </c>
      <c r="E5" s="8"/>
    </row>
    <row r="6" customFormat="false" ht="19.5" hidden="false" customHeight="true" outlineLevel="0" collapsed="false">
      <c r="B6" s="6" t="s">
        <v>6</v>
      </c>
      <c r="C6" s="7"/>
      <c r="D6" s="8" t="s">
        <v>7</v>
      </c>
      <c r="E6" s="8"/>
    </row>
    <row r="7" customFormat="false" ht="19.5" hidden="false" customHeight="true" outlineLevel="0" collapsed="false">
      <c r="B7" s="6" t="s">
        <v>8</v>
      </c>
      <c r="C7" s="7"/>
      <c r="D7" s="8" t="s">
        <v>9</v>
      </c>
      <c r="E7" s="8"/>
    </row>
    <row r="8" customFormat="false" ht="19.5" hidden="false" customHeight="true" outlineLevel="0" collapsed="false">
      <c r="B8" s="6" t="s">
        <v>10</v>
      </c>
      <c r="C8" s="7"/>
      <c r="D8" s="8" t="s">
        <v>11</v>
      </c>
      <c r="E8" s="8"/>
    </row>
    <row r="10" customFormat="false" ht="21.75" hidden="false" customHeight="true" outlineLevel="0" collapsed="false">
      <c r="B10" s="9" t="s">
        <v>12</v>
      </c>
      <c r="C10" s="9"/>
      <c r="D10" s="9"/>
      <c r="E10" s="9"/>
    </row>
    <row r="11" customFormat="false" ht="30" hidden="false" customHeight="true" outlineLevel="0" collapsed="false">
      <c r="B11" s="10" t="s">
        <v>13</v>
      </c>
      <c r="C11" s="10"/>
      <c r="D11" s="10"/>
      <c r="E11" s="10"/>
    </row>
    <row r="12" customFormat="false" ht="30" hidden="false" customHeight="true" outlineLevel="0" collapsed="false">
      <c r="B12" s="10" t="s">
        <v>14</v>
      </c>
      <c r="C12" s="10"/>
      <c r="D12" s="10"/>
      <c r="E12" s="10"/>
    </row>
    <row r="13" customFormat="false" ht="30" hidden="false" customHeight="true" outlineLevel="0" collapsed="false">
      <c r="B13" s="10" t="s">
        <v>15</v>
      </c>
      <c r="C13" s="10"/>
      <c r="D13" s="10"/>
      <c r="E13" s="10"/>
    </row>
    <row r="14" customFormat="false" ht="30" hidden="false" customHeight="true" outlineLevel="0" collapsed="false">
      <c r="B14" s="10" t="s">
        <v>16</v>
      </c>
      <c r="C14" s="10"/>
      <c r="D14" s="10"/>
      <c r="E14" s="10"/>
    </row>
    <row r="15" customFormat="false" ht="30" hidden="false" customHeight="true" outlineLevel="0" collapsed="false">
      <c r="B15" s="10" t="s">
        <v>17</v>
      </c>
      <c r="C15" s="10"/>
      <c r="D15" s="10"/>
      <c r="E15" s="10"/>
    </row>
    <row r="16" customFormat="false" ht="30" hidden="false" customHeight="true" outlineLevel="0" collapsed="false">
      <c r="B16" s="10" t="s">
        <v>18</v>
      </c>
      <c r="C16" s="10"/>
      <c r="D16" s="10"/>
      <c r="E16" s="10"/>
    </row>
    <row r="17" customFormat="false" ht="30" hidden="false" customHeight="true" outlineLevel="0" collapsed="false">
      <c r="B17" s="10" t="s">
        <v>19</v>
      </c>
      <c r="C17" s="10"/>
      <c r="D17" s="10"/>
      <c r="E17" s="10"/>
    </row>
    <row r="19" customFormat="false" ht="21.75" hidden="false" customHeight="true" outlineLevel="0" collapsed="false">
      <c r="B19" s="9" t="s">
        <v>20</v>
      </c>
      <c r="C19" s="9"/>
      <c r="D19" s="9"/>
      <c r="E19" s="9"/>
    </row>
    <row r="20" customFormat="false" ht="15" hidden="false" customHeight="false" outlineLevel="0" collapsed="false">
      <c r="B20" s="11" t="s">
        <v>21</v>
      </c>
      <c r="C20" s="12" t="s">
        <v>22</v>
      </c>
    </row>
    <row r="21" customFormat="false" ht="15" hidden="false" customHeight="false" outlineLevel="0" collapsed="false">
      <c r="B21" s="13" t="s">
        <v>23</v>
      </c>
      <c r="C21" s="12" t="s">
        <v>24</v>
      </c>
    </row>
    <row r="22" customFormat="false" ht="15" hidden="false" customHeight="false" outlineLevel="0" collapsed="false">
      <c r="B22" s="14" t="s">
        <v>25</v>
      </c>
      <c r="C22" s="12" t="s">
        <v>26</v>
      </c>
    </row>
    <row r="23" customFormat="false" ht="15" hidden="false" customHeight="false" outlineLevel="0" collapsed="false">
      <c r="B23" s="15" t="s">
        <v>27</v>
      </c>
      <c r="C23" s="12" t="s">
        <v>28</v>
      </c>
    </row>
    <row r="24" customFormat="false" ht="15" hidden="false" customHeight="false" outlineLevel="0" collapsed="false">
      <c r="B24" s="16" t="s">
        <v>29</v>
      </c>
      <c r="C24" s="12" t="s">
        <v>30</v>
      </c>
    </row>
    <row r="25" customFormat="false" ht="15" hidden="false" customHeight="false" outlineLevel="0" collapsed="false">
      <c r="B25" s="17" t="s">
        <v>31</v>
      </c>
      <c r="C25" s="12" t="s">
        <v>32</v>
      </c>
    </row>
    <row r="26" customFormat="false" ht="18" hidden="false" customHeight="true" outlineLevel="0" collapsed="false">
      <c r="B26" s="18" t="s">
        <v>33</v>
      </c>
      <c r="C26" s="18"/>
      <c r="D26" s="18"/>
      <c r="E26" s="18"/>
    </row>
    <row r="28" customFormat="false" ht="21.75" hidden="false" customHeight="true" outlineLevel="0" collapsed="false">
      <c r="B28" s="9" t="s">
        <v>34</v>
      </c>
      <c r="C28" s="9"/>
      <c r="D28" s="9"/>
      <c r="E28" s="9"/>
    </row>
    <row r="29" customFormat="false" ht="15" hidden="false" customHeight="false" outlineLevel="0" collapsed="false">
      <c r="B29" s="19" t="s">
        <v>35</v>
      </c>
      <c r="C29" s="19" t="s">
        <v>36</v>
      </c>
      <c r="D29" s="19" t="s">
        <v>37</v>
      </c>
      <c r="E29" s="19" t="s">
        <v>38</v>
      </c>
    </row>
    <row r="30" customFormat="false" ht="27.75" hidden="false" customHeight="true" outlineLevel="0" collapsed="false">
      <c r="B30" s="20" t="s">
        <v>39</v>
      </c>
      <c r="C30" s="21" t="s">
        <v>40</v>
      </c>
      <c r="D30" s="21" t="s">
        <v>41</v>
      </c>
      <c r="E30" s="22" t="str">
        <f aca="false">COUNTA('1 Org Profile'!B4:B32)&amp;" of 24 answered"</f>
        <v>0 of 24 answered</v>
      </c>
    </row>
    <row r="31" customFormat="false" ht="27.75" hidden="false" customHeight="true" outlineLevel="0" collapsed="false">
      <c r="B31" s="20" t="s">
        <v>42</v>
      </c>
      <c r="C31" s="21" t="s">
        <v>43</v>
      </c>
      <c r="D31" s="21" t="s">
        <v>44</v>
      </c>
      <c r="E31" s="22" t="n">
        <f aca="false">COUNTA('2 Business Impact'!A6:A105)</f>
        <v>0</v>
      </c>
    </row>
    <row r="32" customFormat="false" ht="27.75" hidden="false" customHeight="true" outlineLevel="0" collapsed="false">
      <c r="B32" s="20" t="s">
        <v>45</v>
      </c>
      <c r="C32" s="21" t="s">
        <v>46</v>
      </c>
      <c r="D32" s="21" t="s">
        <v>47</v>
      </c>
      <c r="E32" s="22" t="n">
        <f aca="false">COUNTA('3 Critical Apps'!A6:A105)</f>
        <v>0</v>
      </c>
    </row>
    <row r="33" customFormat="false" ht="27.75" hidden="false" customHeight="true" outlineLevel="0" collapsed="false">
      <c r="B33" s="20" t="s">
        <v>48</v>
      </c>
      <c r="C33" s="21" t="s">
        <v>49</v>
      </c>
      <c r="D33" s="21" t="s">
        <v>50</v>
      </c>
      <c r="E33" s="22" t="n">
        <f aca="false">COUNTA('4 Data Inventory'!A6:A105)</f>
        <v>0</v>
      </c>
    </row>
    <row r="34" customFormat="false" ht="27.75" hidden="false" customHeight="true" outlineLevel="0" collapsed="false">
      <c r="B34" s="20" t="s">
        <v>51</v>
      </c>
      <c r="C34" s="21" t="s">
        <v>52</v>
      </c>
      <c r="D34" s="21" t="s">
        <v>53</v>
      </c>
      <c r="E34" s="22" t="n">
        <f aca="false">COUNTA('5 Infrastructure'!A6:A105)</f>
        <v>0</v>
      </c>
    </row>
    <row r="35" customFormat="false" ht="27.75" hidden="false" customHeight="true" outlineLevel="0" collapsed="false">
      <c r="B35" s="20" t="s">
        <v>54</v>
      </c>
      <c r="C35" s="21" t="s">
        <v>55</v>
      </c>
      <c r="D35" s="21" t="s">
        <v>53</v>
      </c>
      <c r="E35" s="22" t="n">
        <f aca="false">COUNTA('6 Network'!A6:A105)</f>
        <v>0</v>
      </c>
    </row>
    <row r="36" customFormat="false" ht="27.75" hidden="false" customHeight="true" outlineLevel="0" collapsed="false">
      <c r="B36" s="20" t="s">
        <v>56</v>
      </c>
      <c r="C36" s="21" t="s">
        <v>57</v>
      </c>
      <c r="D36" s="21" t="s">
        <v>53</v>
      </c>
      <c r="E36" s="22" t="n">
        <f aca="false">COUNTA('7 Backups'!A6:A105)</f>
        <v>0</v>
      </c>
    </row>
    <row r="37" customFormat="false" ht="27.75" hidden="false" customHeight="true" outlineLevel="0" collapsed="false">
      <c r="B37" s="20" t="s">
        <v>58</v>
      </c>
      <c r="C37" s="21" t="s">
        <v>59</v>
      </c>
      <c r="D37" s="21" t="s">
        <v>60</v>
      </c>
      <c r="E37" s="22" t="n">
        <f aca="false">COUNTA('8 Break-Glass Access'!A6:A105)</f>
        <v>0</v>
      </c>
    </row>
    <row r="38" customFormat="false" ht="27.75" hidden="false" customHeight="true" outlineLevel="0" collapsed="false">
      <c r="B38" s="20" t="s">
        <v>61</v>
      </c>
      <c r="C38" s="21" t="s">
        <v>62</v>
      </c>
      <c r="D38" s="21" t="s">
        <v>63</v>
      </c>
      <c r="E38" s="22" t="n">
        <f aca="false">COUNTA('9 Internal Contacts'!A6:A105)</f>
        <v>0</v>
      </c>
    </row>
    <row r="39" customFormat="false" ht="27.75" hidden="false" customHeight="true" outlineLevel="0" collapsed="false">
      <c r="B39" s="20" t="s">
        <v>64</v>
      </c>
      <c r="C39" s="21" t="s">
        <v>65</v>
      </c>
      <c r="D39" s="21" t="s">
        <v>66</v>
      </c>
      <c r="E39" s="22" t="n">
        <f aca="false">COUNTA('10 Vendors'!A6:A105)</f>
        <v>0</v>
      </c>
    </row>
    <row r="40" customFormat="false" ht="27.75" hidden="false" customHeight="true" outlineLevel="0" collapsed="false">
      <c r="B40" s="20" t="s">
        <v>67</v>
      </c>
      <c r="C40" s="21" t="s">
        <v>68</v>
      </c>
      <c r="D40" s="21" t="s">
        <v>69</v>
      </c>
      <c r="E40" s="22" t="n">
        <f aca="false">COUNTA('11 Recovery Sites'!A6:A105)</f>
        <v>0</v>
      </c>
    </row>
    <row r="41" customFormat="false" ht="27.75" hidden="false" customHeight="true" outlineLevel="0" collapsed="false">
      <c r="B41" s="20" t="s">
        <v>70</v>
      </c>
      <c r="C41" s="21" t="s">
        <v>71</v>
      </c>
      <c r="D41" s="21" t="s">
        <v>72</v>
      </c>
      <c r="E41" s="22" t="n">
        <f aca="false">COUNTA('12 Communications'!A6:A105)</f>
        <v>0</v>
      </c>
    </row>
    <row r="42" customFormat="false" ht="27.75" hidden="false" customHeight="true" outlineLevel="0" collapsed="false">
      <c r="B42" s="20" t="s">
        <v>73</v>
      </c>
      <c r="C42" s="21" t="s">
        <v>74</v>
      </c>
      <c r="D42" s="21" t="s">
        <v>75</v>
      </c>
      <c r="E42" s="22" t="n">
        <f aca="false">COUNTA('13 Gaps &amp; Actions'!A6:A105)</f>
        <v>0</v>
      </c>
    </row>
    <row r="44" customFormat="false" ht="21.75" hidden="false" customHeight="true" outlineLevel="0" collapsed="false">
      <c r="B44" s="9" t="s">
        <v>76</v>
      </c>
      <c r="C44" s="9"/>
      <c r="D44" s="9"/>
      <c r="E44" s="9"/>
    </row>
    <row r="45" customFormat="false" ht="15" hidden="false" customHeight="false" outlineLevel="0" collapsed="false">
      <c r="B45" s="19" t="s">
        <v>77</v>
      </c>
      <c r="C45" s="19"/>
      <c r="D45" s="19" t="s">
        <v>78</v>
      </c>
      <c r="E45" s="19" t="s">
        <v>79</v>
      </c>
    </row>
    <row r="46" customFormat="false" ht="30" hidden="false" customHeight="true" outlineLevel="0" collapsed="false">
      <c r="B46" s="12" t="s">
        <v>80</v>
      </c>
      <c r="C46" s="12"/>
      <c r="D46" s="23" t="n">
        <f aca="false">COUNTA('3 Critical Apps'!A6:A105)</f>
        <v>0</v>
      </c>
      <c r="E46" s="24" t="s">
        <v>81</v>
      </c>
    </row>
    <row r="47" customFormat="false" ht="30" hidden="false" customHeight="true" outlineLevel="0" collapsed="false">
      <c r="B47" s="12" t="s">
        <v>82</v>
      </c>
      <c r="C47" s="12"/>
      <c r="D47" s="23" t="n">
        <f aca="false">COUNTIF('3 Critical Apps'!H6:H105,"Tier 1")</f>
        <v>0</v>
      </c>
      <c r="E47" s="24" t="s">
        <v>83</v>
      </c>
    </row>
    <row r="48" customFormat="false" ht="30" hidden="false" customHeight="true" outlineLevel="0" collapsed="false">
      <c r="B48" s="12" t="s">
        <v>84</v>
      </c>
      <c r="C48" s="12"/>
      <c r="D48" s="23" t="n">
        <f aca="false">SUMPRODUCT(('3 Critical Apps'!A6:A105&lt;&gt;"")*('3 Critical Apps'!F6:F105=""))</f>
        <v>0</v>
      </c>
      <c r="E48" s="24" t="s">
        <v>85</v>
      </c>
    </row>
    <row r="49" customFormat="false" ht="30" hidden="false" customHeight="true" outlineLevel="0" collapsed="false">
      <c r="B49" s="12" t="s">
        <v>86</v>
      </c>
      <c r="C49" s="12"/>
      <c r="D49" s="23" t="n">
        <f aca="false">SUMPRODUCT(('3 Critical Apps'!A6:A105&lt;&gt;"")*((('3 Critical Apps'!I6:I105="")+('3 Critical Apps'!J6:J105=""))&gt;0))</f>
        <v>0</v>
      </c>
      <c r="E49" s="24" t="s">
        <v>87</v>
      </c>
    </row>
    <row r="50" customFormat="false" ht="30" hidden="false" customHeight="true" outlineLevel="0" collapsed="false">
      <c r="B50" s="12" t="s">
        <v>88</v>
      </c>
      <c r="C50" s="12"/>
      <c r="D50" s="23" t="n">
        <f aca="false">SUMPRODUCT(('3 Critical Apps'!A6:A105&lt;&gt;"")*(COUNTIF('7 Backups'!B6:B105,'3 Critical Apps'!A6:A105)=0))</f>
        <v>0</v>
      </c>
      <c r="E50" s="24" t="s">
        <v>89</v>
      </c>
    </row>
    <row r="51" customFormat="false" ht="30" hidden="false" customHeight="true" outlineLevel="0" collapsed="false">
      <c r="B51" s="12" t="s">
        <v>90</v>
      </c>
      <c r="C51" s="12"/>
      <c r="D51" s="23" t="n">
        <f aca="false">COUNTIF('2 Business Impact'!Q6:Q105,"RTO &gt; MTD")</f>
        <v>0</v>
      </c>
      <c r="E51" s="24" t="s">
        <v>87</v>
      </c>
    </row>
    <row r="52" customFormat="false" ht="30" hidden="false" customHeight="true" outlineLevel="0" collapsed="false">
      <c r="B52" s="12" t="s">
        <v>91</v>
      </c>
      <c r="C52" s="12"/>
      <c r="D52" s="23" t="n">
        <f aca="false">COUNTA('7 Backups'!A6:A105)</f>
        <v>0</v>
      </c>
      <c r="E52" s="24"/>
    </row>
    <row r="53" customFormat="false" ht="30" hidden="false" customHeight="true" outlineLevel="0" collapsed="false">
      <c r="B53" s="12" t="s">
        <v>92</v>
      </c>
      <c r="C53" s="12"/>
      <c r="D53" s="23" t="n">
        <f aca="false">SUMPRODUCT(('7 Backups'!A6:A105&lt;&gt;"")*('7 Backups'!M6:M105&lt;&gt;"Yes"))</f>
        <v>0</v>
      </c>
      <c r="E53" s="24" t="s">
        <v>93</v>
      </c>
    </row>
    <row r="54" customFormat="false" ht="30" hidden="false" customHeight="true" outlineLevel="0" collapsed="false">
      <c r="B54" s="12" t="s">
        <v>94</v>
      </c>
      <c r="C54" s="12"/>
      <c r="D54" s="23" t="n">
        <f aca="false">SUMPRODUCT(('7 Backups'!A6:A105&lt;&gt;"")*('7 Backups'!P6:P105&lt;&gt;"Yes"))</f>
        <v>0</v>
      </c>
      <c r="E54" s="24" t="s">
        <v>87</v>
      </c>
    </row>
    <row r="55" customFormat="false" ht="30" hidden="false" customHeight="true" outlineLevel="0" collapsed="false">
      <c r="B55" s="12" t="s">
        <v>95</v>
      </c>
      <c r="C55" s="12"/>
      <c r="D55" s="23" t="n">
        <f aca="false">COUNTIF('7 Backups'!S6:S105,"NEVER TESTED")+COUNTIF('7 Backups'!S6:S105,"STALE")</f>
        <v>0</v>
      </c>
      <c r="E55" s="24" t="s">
        <v>96</v>
      </c>
    </row>
    <row r="56" customFormat="false" ht="30" hidden="false" customHeight="true" outlineLevel="0" collapsed="false">
      <c r="B56" s="12" t="s">
        <v>97</v>
      </c>
      <c r="C56" s="12"/>
      <c r="D56" s="23" t="n">
        <f aca="false">COUNTIF('7 Backups'!I6:I105,"GAP")</f>
        <v>0</v>
      </c>
      <c r="E56" s="24" t="s">
        <v>87</v>
      </c>
    </row>
    <row r="57" customFormat="false" ht="30" hidden="false" customHeight="true" outlineLevel="0" collapsed="false">
      <c r="B57" s="12" t="s">
        <v>98</v>
      </c>
      <c r="C57" s="12"/>
      <c r="D57" s="23" t="n">
        <f aca="false">COUNTIF('7 Backups'!U6:U105,"GAP")</f>
        <v>0</v>
      </c>
      <c r="E57" s="24" t="s">
        <v>87</v>
      </c>
    </row>
    <row r="58" customFormat="false" ht="30" hidden="false" customHeight="true" outlineLevel="0" collapsed="false">
      <c r="B58" s="12" t="s">
        <v>99</v>
      </c>
      <c r="C58" s="12"/>
      <c r="D58" s="23" t="n">
        <f aca="false">COUNTIF('8 Break-Glass Access'!J6:J105,"No")+COUNTIF('8 Break-Glass Access'!J6:J105,"Unknown")</f>
        <v>0</v>
      </c>
      <c r="E58" s="24" t="s">
        <v>87</v>
      </c>
    </row>
    <row r="59" customFormat="false" ht="30" hidden="false" customHeight="true" outlineLevel="0" collapsed="false">
      <c r="B59" s="12" t="s">
        <v>100</v>
      </c>
      <c r="C59" s="12"/>
      <c r="D59" s="23" t="n">
        <f aca="false">COUNTIF('9 Internal Contacts'!L6:L105,"Yes")</f>
        <v>0</v>
      </c>
      <c r="E59" s="24" t="s">
        <v>101</v>
      </c>
    </row>
    <row r="60" customFormat="false" ht="30" hidden="false" customHeight="true" outlineLevel="0" collapsed="false">
      <c r="B60" s="12" t="s">
        <v>102</v>
      </c>
      <c r="C60" s="12"/>
      <c r="D60" s="23" t="n">
        <f aca="false">SUMPRODUCT(('9 Internal Contacts'!D6:D105&lt;&gt;"")*('9 Internal Contacts'!D6:D105&lt;&gt;"None")*('9 Internal Contacts'!K6:K105=""))</f>
        <v>0</v>
      </c>
      <c r="E60" s="24" t="s">
        <v>87</v>
      </c>
    </row>
    <row r="61" customFormat="false" ht="30" hidden="false" customHeight="true" outlineLevel="0" collapsed="false">
      <c r="B61" s="12" t="s">
        <v>103</v>
      </c>
      <c r="C61" s="12"/>
      <c r="D61" s="23" t="n">
        <f aca="true">SUMPRODUCT(ISNUMBER('10 Vendors'!M6:M105)*(('10 Vendors'!M6:M105-TODAY())&lt;=ExpiryWarnDays))</f>
        <v>0</v>
      </c>
      <c r="E61" s="24" t="s">
        <v>104</v>
      </c>
    </row>
    <row r="62" customFormat="false" ht="30" hidden="false" customHeight="true" outlineLevel="0" collapsed="false">
      <c r="B62" s="12" t="s">
        <v>105</v>
      </c>
      <c r="C62" s="12"/>
      <c r="D62" s="23" t="n">
        <f aca="false">COUNTIF('13 Gaps &amp; Actions'!H6:H105,"Open")+COUNTIF('13 Gaps &amp; Actions'!H6:H105,"In Progress")</f>
        <v>0</v>
      </c>
      <c r="E62" s="24" t="s">
        <v>106</v>
      </c>
    </row>
    <row r="64" customFormat="false" ht="18" hidden="false" customHeight="true" outlineLevel="0" collapsed="false">
      <c r="B64" s="18" t="s">
        <v>107</v>
      </c>
      <c r="C64" s="18"/>
      <c r="D64" s="18"/>
      <c r="E64" s="18"/>
    </row>
    <row r="66" customFormat="false" ht="18" hidden="false" customHeight="true" outlineLevel="0" collapsed="false">
      <c r="B66" s="25" t="s">
        <v>108</v>
      </c>
      <c r="C66" s="25"/>
      <c r="D66" s="25"/>
      <c r="E66" s="25"/>
    </row>
  </sheetData>
  <mergeCells count="40">
    <mergeCell ref="B1:D1"/>
    <mergeCell ref="E1:E3"/>
    <mergeCell ref="B2:D2"/>
    <mergeCell ref="B3:D3"/>
    <mergeCell ref="D5:E5"/>
    <mergeCell ref="D6:E6"/>
    <mergeCell ref="D7:E7"/>
    <mergeCell ref="D8:E8"/>
    <mergeCell ref="B10:E10"/>
    <mergeCell ref="B11:E11"/>
    <mergeCell ref="B12:E12"/>
    <mergeCell ref="B13:E13"/>
    <mergeCell ref="B14:E14"/>
    <mergeCell ref="B15:E15"/>
    <mergeCell ref="B16:E16"/>
    <mergeCell ref="B17:E17"/>
    <mergeCell ref="B19:E19"/>
    <mergeCell ref="B26:E26"/>
    <mergeCell ref="B28:E28"/>
    <mergeCell ref="B44:E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4:E64"/>
    <mergeCell ref="B66:E66"/>
  </mergeCells>
  <conditionalFormatting sqref="D48">
    <cfRule type="expression" priority="2" aboveAverage="0" equalAverage="0" bottom="0" percent="0" rank="0" text="" dxfId="0">
      <formula>D48&gt;0</formula>
    </cfRule>
    <cfRule type="expression" priority="3" aboveAverage="0" equalAverage="0" bottom="0" percent="0" rank="0" text="" dxfId="1">
      <formula>D48=0</formula>
    </cfRule>
  </conditionalFormatting>
  <conditionalFormatting sqref="D49">
    <cfRule type="expression" priority="4" aboveAverage="0" equalAverage="0" bottom="0" percent="0" rank="0" text="" dxfId="0">
      <formula>D49&gt;0</formula>
    </cfRule>
    <cfRule type="expression" priority="5" aboveAverage="0" equalAverage="0" bottom="0" percent="0" rank="0" text="" dxfId="1">
      <formula>D49=0</formula>
    </cfRule>
  </conditionalFormatting>
  <conditionalFormatting sqref="D50">
    <cfRule type="expression" priority="6" aboveAverage="0" equalAverage="0" bottom="0" percent="0" rank="0" text="" dxfId="0">
      <formula>D50&gt;0</formula>
    </cfRule>
    <cfRule type="expression" priority="7" aboveAverage="0" equalAverage="0" bottom="0" percent="0" rank="0" text="" dxfId="1">
      <formula>D50=0</formula>
    </cfRule>
  </conditionalFormatting>
  <conditionalFormatting sqref="D51">
    <cfRule type="expression" priority="8" aboveAverage="0" equalAverage="0" bottom="0" percent="0" rank="0" text="" dxfId="0">
      <formula>D51&gt;0</formula>
    </cfRule>
    <cfRule type="expression" priority="9" aboveAverage="0" equalAverage="0" bottom="0" percent="0" rank="0" text="" dxfId="1">
      <formula>D51=0</formula>
    </cfRule>
  </conditionalFormatting>
  <conditionalFormatting sqref="D53">
    <cfRule type="expression" priority="10" aboveAverage="0" equalAverage="0" bottom="0" percent="0" rank="0" text="" dxfId="0">
      <formula>D53&gt;0</formula>
    </cfRule>
    <cfRule type="expression" priority="11" aboveAverage="0" equalAverage="0" bottom="0" percent="0" rank="0" text="" dxfId="1">
      <formula>D53=0</formula>
    </cfRule>
  </conditionalFormatting>
  <conditionalFormatting sqref="D54">
    <cfRule type="expression" priority="12" aboveAverage="0" equalAverage="0" bottom="0" percent="0" rank="0" text="" dxfId="0">
      <formula>D54&gt;0</formula>
    </cfRule>
    <cfRule type="expression" priority="13" aboveAverage="0" equalAverage="0" bottom="0" percent="0" rank="0" text="" dxfId="1">
      <formula>D54=0</formula>
    </cfRule>
  </conditionalFormatting>
  <conditionalFormatting sqref="D55">
    <cfRule type="expression" priority="14" aboveAverage="0" equalAverage="0" bottom="0" percent="0" rank="0" text="" dxfId="0">
      <formula>D55&gt;0</formula>
    </cfRule>
    <cfRule type="expression" priority="15" aboveAverage="0" equalAverage="0" bottom="0" percent="0" rank="0" text="" dxfId="1">
      <formula>D55=0</formula>
    </cfRule>
  </conditionalFormatting>
  <conditionalFormatting sqref="D56">
    <cfRule type="expression" priority="16" aboveAverage="0" equalAverage="0" bottom="0" percent="0" rank="0" text="" dxfId="0">
      <formula>D56&gt;0</formula>
    </cfRule>
    <cfRule type="expression" priority="17" aboveAverage="0" equalAverage="0" bottom="0" percent="0" rank="0" text="" dxfId="1">
      <formula>D56=0</formula>
    </cfRule>
  </conditionalFormatting>
  <conditionalFormatting sqref="D57">
    <cfRule type="expression" priority="18" aboveAverage="0" equalAverage="0" bottom="0" percent="0" rank="0" text="" dxfId="0">
      <formula>D57&gt;0</formula>
    </cfRule>
    <cfRule type="expression" priority="19" aboveAverage="0" equalAverage="0" bottom="0" percent="0" rank="0" text="" dxfId="1">
      <formula>D57=0</formula>
    </cfRule>
  </conditionalFormatting>
  <conditionalFormatting sqref="D58">
    <cfRule type="expression" priority="20" aboveAverage="0" equalAverage="0" bottom="0" percent="0" rank="0" text="" dxfId="0">
      <formula>D58&gt;0</formula>
    </cfRule>
    <cfRule type="expression" priority="21" aboveAverage="0" equalAverage="0" bottom="0" percent="0" rank="0" text="" dxfId="1">
      <formula>D58=0</formula>
    </cfRule>
  </conditionalFormatting>
  <conditionalFormatting sqref="D59">
    <cfRule type="expression" priority="22" aboveAverage="0" equalAverage="0" bottom="0" percent="0" rank="0" text="" dxfId="0">
      <formula>D59&lt;3</formula>
    </cfRule>
  </conditionalFormatting>
  <conditionalFormatting sqref="D60">
    <cfRule type="expression" priority="23" aboveAverage="0" equalAverage="0" bottom="0" percent="0" rank="0" text="" dxfId="0">
      <formula>D60&gt;0</formula>
    </cfRule>
    <cfRule type="expression" priority="24" aboveAverage="0" equalAverage="0" bottom="0" percent="0" rank="0" text="" dxfId="1">
      <formula>D60=0</formula>
    </cfRule>
  </conditionalFormatting>
  <conditionalFormatting sqref="D61">
    <cfRule type="expression" priority="25" aboveAverage="0" equalAverage="0" bottom="0" percent="0" rank="0" text="" dxfId="0">
      <formula>D61&gt;0</formula>
    </cfRule>
    <cfRule type="expression" priority="26" aboveAverage="0" equalAverage="0" bottom="0" percent="0" rank="0" text="" dxfId="1">
      <formula>D61=0</formula>
    </cfRule>
  </conditionalFormatting>
  <hyperlinks>
    <hyperlink ref="B30" r:id="rId1" location="'1%20Org%20Profile'!A1" display="1 Org Profile"/>
    <hyperlink ref="B31" r:id="rId2" location="'2%20Business%20Impact'!A1" display="2 Business Impact"/>
    <hyperlink ref="B32" r:id="rId3" location="'3%20Critical%20Apps'!A1" display="3 Critical Apps"/>
    <hyperlink ref="B33" r:id="rId4" location="'4%20Data%20Inventory'!A1" display="4 Data Inventory"/>
    <hyperlink ref="B34" r:id="rId5" location="'5%20Infrastructure'!A1" display="5 Infrastructure"/>
    <hyperlink ref="B35" r:id="rId6" location="'6%20Network'!A1" display="6 Network"/>
    <hyperlink ref="B36" r:id="rId7" location="'7%20Backups'!A1" display="7 Backups"/>
    <hyperlink ref="B37" r:id="rId8" location="'8%20Break-Glass%20Access'!A1" display="8 Break-Glass Access"/>
    <hyperlink ref="B38" r:id="rId9" location="'9%20Internal%20Contacts'!A1" display="9 Internal Contacts"/>
    <hyperlink ref="B39" r:id="rId10" location="'10%20Vendors'!A1" display="10 Vendors"/>
    <hyperlink ref="B40" r:id="rId11" location="'11%20Recovery%20Sites'!A1" display="11 Recovery Sites"/>
    <hyperlink ref="B41" r:id="rId12" location="'12%20Communications'!A1" display="12 Communications"/>
    <hyperlink ref="B42" r:id="rId13" location="'13%20Gaps%20&amp;%20Actions'!A1" display="13 Gaps &amp; Action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8FF"/>
    <pageSetUpPr fitToPage="true"/>
  </sheetPr>
  <dimension ref="A1:C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60"/>
    <col collapsed="false" customWidth="true" hidden="false" outlineLevel="0" max="3" min="3" style="0" width="70"/>
  </cols>
  <sheetData>
    <row r="1" customFormat="false" ht="33.75" hidden="false" customHeight="true" outlineLevel="0" collapsed="false">
      <c r="A1" s="26" t="str">
        <f aca="false">IF(PreparedFor="","Organization Profile &amp; DR Program Ownership","Organization Profile &amp; DR Program Ownership  |  "&amp;PreparedFor)</f>
        <v>Organization Profile &amp; DR Program Ownership</v>
      </c>
      <c r="B1" s="26"/>
      <c r="C1" s="26"/>
    </row>
    <row r="2" customFormat="false" ht="48" hidden="false" customHeight="true" outlineLevel="0" collapsed="false">
      <c r="A2" s="27" t="s">
        <v>109</v>
      </c>
      <c r="B2" s="27"/>
      <c r="C2" s="27"/>
    </row>
    <row r="3" customFormat="false" ht="15" hidden="false" customHeight="false" outlineLevel="0" collapsed="false">
      <c r="A3" s="28" t="s">
        <v>110</v>
      </c>
      <c r="B3" s="28" t="s">
        <v>111</v>
      </c>
      <c r="C3" s="28" t="s">
        <v>112</v>
      </c>
    </row>
    <row r="4" customFormat="false" ht="15" hidden="false" customHeight="false" outlineLevel="0" collapsed="false">
      <c r="A4" s="29" t="s">
        <v>113</v>
      </c>
      <c r="B4" s="29"/>
      <c r="C4" s="29"/>
    </row>
    <row r="5" customFormat="false" ht="36" hidden="false" customHeight="true" outlineLevel="0" collapsed="false">
      <c r="A5" s="30" t="s">
        <v>114</v>
      </c>
      <c r="B5" s="31"/>
      <c r="C5" s="32"/>
    </row>
    <row r="6" customFormat="false" ht="36" hidden="false" customHeight="true" outlineLevel="0" collapsed="false">
      <c r="A6" s="30" t="s">
        <v>115</v>
      </c>
      <c r="B6" s="31"/>
      <c r="C6" s="32"/>
    </row>
    <row r="7" customFormat="false" ht="36" hidden="false" customHeight="true" outlineLevel="0" collapsed="false">
      <c r="A7" s="30" t="s">
        <v>116</v>
      </c>
      <c r="B7" s="31"/>
      <c r="C7" s="32"/>
    </row>
    <row r="8" customFormat="false" ht="36" hidden="false" customHeight="true" outlineLevel="0" collapsed="false">
      <c r="A8" s="30" t="s">
        <v>117</v>
      </c>
      <c r="B8" s="31"/>
      <c r="C8" s="32"/>
    </row>
    <row r="9" customFormat="false" ht="36" hidden="false" customHeight="true" outlineLevel="0" collapsed="false">
      <c r="A9" s="30" t="s">
        <v>118</v>
      </c>
      <c r="B9" s="31"/>
      <c r="C9" s="32" t="s">
        <v>119</v>
      </c>
    </row>
    <row r="10" customFormat="false" ht="36" hidden="false" customHeight="true" outlineLevel="0" collapsed="false">
      <c r="A10" s="30" t="s">
        <v>120</v>
      </c>
      <c r="B10" s="31"/>
      <c r="C10" s="32" t="s">
        <v>121</v>
      </c>
    </row>
    <row r="11" customFormat="false" ht="15" hidden="false" customHeight="false" outlineLevel="0" collapsed="false">
      <c r="A11" s="29" t="s">
        <v>122</v>
      </c>
      <c r="B11" s="29"/>
      <c r="C11" s="29"/>
    </row>
    <row r="12" customFormat="false" ht="36" hidden="false" customHeight="true" outlineLevel="0" collapsed="false">
      <c r="A12" s="30" t="s">
        <v>123</v>
      </c>
      <c r="B12" s="31"/>
      <c r="C12" s="32" t="s">
        <v>124</v>
      </c>
    </row>
    <row r="13" customFormat="false" ht="36" hidden="false" customHeight="true" outlineLevel="0" collapsed="false">
      <c r="A13" s="30" t="s">
        <v>125</v>
      </c>
      <c r="B13" s="31"/>
      <c r="C13" s="32" t="s">
        <v>126</v>
      </c>
    </row>
    <row r="14" customFormat="false" ht="36" hidden="false" customHeight="true" outlineLevel="0" collapsed="false">
      <c r="A14" s="30" t="s">
        <v>127</v>
      </c>
      <c r="B14" s="31"/>
      <c r="C14" s="32" t="s">
        <v>128</v>
      </c>
    </row>
    <row r="15" customFormat="false" ht="36" hidden="false" customHeight="true" outlineLevel="0" collapsed="false">
      <c r="A15" s="30" t="s">
        <v>129</v>
      </c>
      <c r="B15" s="31"/>
      <c r="C15" s="32"/>
    </row>
    <row r="16" customFormat="false" ht="36" hidden="false" customHeight="true" outlineLevel="0" collapsed="false">
      <c r="A16" s="30" t="s">
        <v>130</v>
      </c>
      <c r="B16" s="31"/>
      <c r="C16" s="32" t="s">
        <v>131</v>
      </c>
    </row>
    <row r="17" customFormat="false" ht="36" hidden="false" customHeight="true" outlineLevel="0" collapsed="false">
      <c r="A17" s="30" t="s">
        <v>132</v>
      </c>
      <c r="B17" s="31"/>
      <c r="C17" s="32" t="s">
        <v>133</v>
      </c>
    </row>
    <row r="18" customFormat="false" ht="15" hidden="false" customHeight="false" outlineLevel="0" collapsed="false">
      <c r="A18" s="29" t="s">
        <v>134</v>
      </c>
      <c r="B18" s="29"/>
      <c r="C18" s="29"/>
    </row>
    <row r="19" customFormat="false" ht="36" hidden="false" customHeight="true" outlineLevel="0" collapsed="false">
      <c r="A19" s="30" t="s">
        <v>135</v>
      </c>
      <c r="B19" s="31"/>
      <c r="C19" s="32" t="s">
        <v>136</v>
      </c>
    </row>
    <row r="20" customFormat="false" ht="36" hidden="false" customHeight="true" outlineLevel="0" collapsed="false">
      <c r="A20" s="30" t="s">
        <v>137</v>
      </c>
      <c r="B20" s="31"/>
      <c r="C20" s="32" t="s">
        <v>138</v>
      </c>
    </row>
    <row r="21" customFormat="false" ht="36" hidden="false" customHeight="true" outlineLevel="0" collapsed="false">
      <c r="A21" s="30" t="s">
        <v>139</v>
      </c>
      <c r="B21" s="31"/>
      <c r="C21" s="32" t="s">
        <v>140</v>
      </c>
    </row>
    <row r="22" customFormat="false" ht="36" hidden="false" customHeight="true" outlineLevel="0" collapsed="false">
      <c r="A22" s="30" t="s">
        <v>141</v>
      </c>
      <c r="B22" s="31"/>
      <c r="C22" s="32" t="s">
        <v>142</v>
      </c>
    </row>
    <row r="23" customFormat="false" ht="15" hidden="false" customHeight="false" outlineLevel="0" collapsed="false">
      <c r="A23" s="29" t="s">
        <v>143</v>
      </c>
      <c r="B23" s="29"/>
      <c r="C23" s="29"/>
    </row>
    <row r="24" customFormat="false" ht="36" hidden="false" customHeight="true" outlineLevel="0" collapsed="false">
      <c r="A24" s="30" t="s">
        <v>144</v>
      </c>
      <c r="B24" s="31"/>
      <c r="C24" s="32"/>
    </row>
    <row r="25" customFormat="false" ht="36" hidden="false" customHeight="true" outlineLevel="0" collapsed="false">
      <c r="A25" s="30" t="s">
        <v>145</v>
      </c>
      <c r="B25" s="31"/>
      <c r="C25" s="32" t="s">
        <v>146</v>
      </c>
    </row>
    <row r="26" customFormat="false" ht="36" hidden="false" customHeight="true" outlineLevel="0" collapsed="false">
      <c r="A26" s="30" t="s">
        <v>147</v>
      </c>
      <c r="B26" s="31"/>
      <c r="C26" s="32" t="s">
        <v>148</v>
      </c>
    </row>
    <row r="27" customFormat="false" ht="36" hidden="false" customHeight="true" outlineLevel="0" collapsed="false">
      <c r="A27" s="30" t="s">
        <v>149</v>
      </c>
      <c r="B27" s="31"/>
      <c r="C27" s="32" t="s">
        <v>150</v>
      </c>
    </row>
    <row r="28" customFormat="false" ht="15" hidden="false" customHeight="false" outlineLevel="0" collapsed="false">
      <c r="A28" s="29" t="s">
        <v>151</v>
      </c>
      <c r="B28" s="29"/>
      <c r="C28" s="29"/>
    </row>
    <row r="29" customFormat="false" ht="36" hidden="false" customHeight="true" outlineLevel="0" collapsed="false">
      <c r="A29" s="30" t="s">
        <v>152</v>
      </c>
      <c r="B29" s="31"/>
      <c r="C29" s="32" t="s">
        <v>153</v>
      </c>
    </row>
    <row r="30" customFormat="false" ht="36" hidden="false" customHeight="true" outlineLevel="0" collapsed="false">
      <c r="A30" s="30" t="s">
        <v>154</v>
      </c>
      <c r="B30" s="31"/>
      <c r="C30" s="32"/>
    </row>
    <row r="31" customFormat="false" ht="36" hidden="false" customHeight="true" outlineLevel="0" collapsed="false">
      <c r="A31" s="30" t="s">
        <v>155</v>
      </c>
      <c r="B31" s="31"/>
      <c r="C31" s="32" t="s">
        <v>156</v>
      </c>
    </row>
    <row r="32" customFormat="false" ht="36" hidden="false" customHeight="true" outlineLevel="0" collapsed="false">
      <c r="A32" s="30" t="s">
        <v>157</v>
      </c>
      <c r="B32" s="31"/>
      <c r="C32" s="32" t="s">
        <v>158</v>
      </c>
    </row>
  </sheetData>
  <mergeCells count="7">
    <mergeCell ref="A1:C1"/>
    <mergeCell ref="A2:C2"/>
    <mergeCell ref="A4:C4"/>
    <mergeCell ref="A11:C11"/>
    <mergeCell ref="A18:C18"/>
    <mergeCell ref="A23:C23"/>
    <mergeCell ref="A28:C28"/>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&amp;A&amp;R&amp;8 Powered by MSP Culture  |  v1.0  |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2BD6"/>
    <pageSetUpPr fitToPage="true"/>
  </sheetPr>
  <dimension ref="A1:R1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20"/>
    <col collapsed="false" customWidth="true" hidden="false" outlineLevel="0" max="4" min="4" style="0" width="28"/>
    <col collapsed="false" customWidth="true" hidden="false" outlineLevel="0" max="5" min="5" style="0" width="24"/>
    <col collapsed="false" customWidth="true" hidden="false" outlineLevel="0" max="6" min="6" style="0" width="18"/>
    <col collapsed="false" customWidth="true" hidden="false" outlineLevel="0" max="10" min="7" style="0" width="11"/>
    <col collapsed="false" customWidth="true" hidden="false" outlineLevel="0" max="11" min="11" style="0" width="12"/>
    <col collapsed="false" customWidth="true" hidden="false" outlineLevel="0" max="13" min="12" style="0" width="10"/>
    <col collapsed="false" customWidth="true" hidden="false" outlineLevel="0" max="14" min="14" style="0" width="11"/>
    <col collapsed="false" customWidth="true" hidden="false" outlineLevel="0" max="15" min="15" style="0" width="30"/>
    <col collapsed="false" customWidth="true" hidden="false" outlineLevel="0" max="16" min="16" style="0" width="10"/>
    <col collapsed="false" customWidth="true" hidden="false" outlineLevel="0" max="17" min="17" style="0" width="11"/>
    <col collapsed="false" customWidth="true" hidden="false" outlineLevel="0" max="18" min="18" style="0" width="24"/>
  </cols>
  <sheetData>
    <row r="1" customFormat="false" ht="33.75" hidden="false" customHeight="true" outlineLevel="0" collapsed="false">
      <c r="A1" s="26" t="str">
        <f aca="false">IF(PreparedFor="","Business Impact Analysis","Business Impact Analysis  |  "&amp;PreparedFor)</f>
        <v>Business Impact Analysis</v>
      </c>
      <c r="B1" s="26"/>
      <c r="C1" s="26"/>
      <c r="D1" s="26"/>
      <c r="E1" s="26"/>
      <c r="F1" s="26"/>
      <c r="G1" s="26"/>
      <c r="H1" s="26"/>
      <c r="I1" s="26"/>
      <c r="J1" s="26"/>
      <c r="K1" s="26"/>
      <c r="L1" s="26"/>
      <c r="M1" s="26"/>
      <c r="N1" s="26"/>
      <c r="O1" s="26"/>
      <c r="P1" s="26"/>
      <c r="Q1" s="26"/>
      <c r="R1" s="26"/>
    </row>
    <row r="2" customFormat="false" ht="48" hidden="false" customHeight="true" outlineLevel="0" collapsed="false">
      <c r="A2" s="27" t="s">
        <v>159</v>
      </c>
      <c r="B2" s="27"/>
      <c r="C2" s="27"/>
      <c r="D2" s="27"/>
      <c r="E2" s="27"/>
      <c r="F2" s="27"/>
      <c r="G2" s="27"/>
      <c r="H2" s="27"/>
      <c r="I2" s="27"/>
      <c r="J2" s="27"/>
      <c r="K2" s="27"/>
      <c r="L2" s="27"/>
      <c r="M2" s="27"/>
      <c r="N2" s="27"/>
      <c r="O2" s="27"/>
      <c r="P2" s="27"/>
      <c r="Q2" s="27"/>
      <c r="R2" s="27"/>
    </row>
    <row r="3" customFormat="false" ht="42" hidden="false" customHeight="true" outlineLevel="0" collapsed="false">
      <c r="A3" s="33" t="s">
        <v>160</v>
      </c>
      <c r="B3" s="33" t="s">
        <v>161</v>
      </c>
      <c r="C3" s="33" t="s">
        <v>162</v>
      </c>
      <c r="D3" s="33" t="s">
        <v>163</v>
      </c>
      <c r="E3" s="33" t="s">
        <v>164</v>
      </c>
      <c r="F3" s="33" t="s">
        <v>165</v>
      </c>
      <c r="G3" s="33" t="s">
        <v>166</v>
      </c>
      <c r="H3" s="33" t="s">
        <v>167</v>
      </c>
      <c r="I3" s="33" t="s">
        <v>168</v>
      </c>
      <c r="J3" s="33" t="s">
        <v>169</v>
      </c>
      <c r="K3" s="33" t="s">
        <v>170</v>
      </c>
      <c r="L3" s="33" t="s">
        <v>171</v>
      </c>
      <c r="M3" s="33" t="s">
        <v>172</v>
      </c>
      <c r="N3" s="33" t="s">
        <v>173</v>
      </c>
      <c r="O3" s="33" t="s">
        <v>174</v>
      </c>
      <c r="P3" s="34" t="s">
        <v>175</v>
      </c>
      <c r="Q3" s="34" t="s">
        <v>176</v>
      </c>
      <c r="R3" s="33" t="s">
        <v>177</v>
      </c>
    </row>
    <row r="4" customFormat="false" ht="66" hidden="false" customHeight="true" outlineLevel="0" collapsed="false">
      <c r="A4" s="35" t="s">
        <v>178</v>
      </c>
      <c r="B4" s="35"/>
      <c r="C4" s="35" t="s">
        <v>179</v>
      </c>
      <c r="D4" s="35"/>
      <c r="E4" s="35" t="s">
        <v>180</v>
      </c>
      <c r="F4" s="35"/>
      <c r="G4" s="35"/>
      <c r="H4" s="35"/>
      <c r="I4" s="35"/>
      <c r="J4" s="35"/>
      <c r="K4" s="35" t="s">
        <v>181</v>
      </c>
      <c r="L4" s="35" t="s">
        <v>182</v>
      </c>
      <c r="M4" s="35" t="s">
        <v>183</v>
      </c>
      <c r="N4" s="35"/>
      <c r="O4" s="35"/>
      <c r="P4" s="35"/>
      <c r="Q4" s="35"/>
      <c r="R4" s="35"/>
    </row>
    <row r="5" customFormat="false" ht="22.35" hidden="false" customHeight="false" outlineLevel="0" collapsed="false">
      <c r="A5" s="36" t="s">
        <v>184</v>
      </c>
      <c r="B5" s="36" t="s">
        <v>185</v>
      </c>
      <c r="C5" s="36" t="s">
        <v>186</v>
      </c>
      <c r="D5" s="36" t="s">
        <v>187</v>
      </c>
      <c r="E5" s="36" t="s">
        <v>188</v>
      </c>
      <c r="F5" s="36" t="s">
        <v>189</v>
      </c>
      <c r="G5" s="36" t="s">
        <v>190</v>
      </c>
      <c r="H5" s="36" t="s">
        <v>190</v>
      </c>
      <c r="I5" s="36" t="s">
        <v>190</v>
      </c>
      <c r="J5" s="36" t="s">
        <v>191</v>
      </c>
      <c r="K5" s="37" t="n">
        <v>72</v>
      </c>
      <c r="L5" s="37" t="n">
        <v>24</v>
      </c>
      <c r="M5" s="37" t="n">
        <v>24</v>
      </c>
      <c r="N5" s="36" t="s">
        <v>192</v>
      </c>
      <c r="O5" s="36" t="s">
        <v>193</v>
      </c>
      <c r="P5" s="38" t="str">
        <f aca="false">IF(K5="","",IF(K5&lt;=Tier1Max,"Tier 1",IF(K5&lt;=Tier2Max,"Tier 2",IF(K5&lt;=Tier3Max,"Tier 3","Tier 4"))))</f>
        <v>Tier 3</v>
      </c>
      <c r="Q5" s="38" t="str">
        <f aca="false">IF(OR(K5="",L5=""),"",IF(L5&gt;K5,"RTO &gt; MTD","OK"))</f>
        <v>OK</v>
      </c>
      <c r="R5" s="36"/>
    </row>
    <row r="6" customFormat="false" ht="15" hidden="false" customHeight="false" outlineLevel="0" collapsed="false">
      <c r="A6" s="39"/>
      <c r="B6" s="39"/>
      <c r="C6" s="39"/>
      <c r="D6" s="39"/>
      <c r="E6" s="39"/>
      <c r="F6" s="39"/>
      <c r="G6" s="39"/>
      <c r="H6" s="39"/>
      <c r="I6" s="39"/>
      <c r="J6" s="39"/>
      <c r="K6" s="40"/>
      <c r="L6" s="40"/>
      <c r="M6" s="40"/>
      <c r="N6" s="39"/>
      <c r="O6" s="39"/>
      <c r="P6" s="41" t="str">
        <f aca="false">IF(K6="","",IF(K6&lt;=Tier1Max,"Tier 1",IF(K6&lt;=Tier2Max,"Tier 2",IF(K6&lt;=Tier3Max,"Tier 3","Tier 4"))))</f>
        <v/>
      </c>
      <c r="Q6" s="41" t="str">
        <f aca="false">IF(OR(K6="",L6=""),"",IF(L6&gt;K6,"RTO &gt; MTD","OK"))</f>
        <v/>
      </c>
      <c r="R6" s="39"/>
    </row>
    <row r="7" customFormat="false" ht="15" hidden="false" customHeight="false" outlineLevel="0" collapsed="false">
      <c r="A7" s="39"/>
      <c r="B7" s="39"/>
      <c r="C7" s="39"/>
      <c r="D7" s="39"/>
      <c r="E7" s="39"/>
      <c r="F7" s="39"/>
      <c r="G7" s="39"/>
      <c r="H7" s="39"/>
      <c r="I7" s="39"/>
      <c r="J7" s="39"/>
      <c r="K7" s="40"/>
      <c r="L7" s="40"/>
      <c r="M7" s="40"/>
      <c r="N7" s="39"/>
      <c r="O7" s="39"/>
      <c r="P7" s="41" t="str">
        <f aca="false">IF(K7="","",IF(K7&lt;=Tier1Max,"Tier 1",IF(K7&lt;=Tier2Max,"Tier 2",IF(K7&lt;=Tier3Max,"Tier 3","Tier 4"))))</f>
        <v/>
      </c>
      <c r="Q7" s="41" t="str">
        <f aca="false">IF(OR(K7="",L7=""),"",IF(L7&gt;K7,"RTO &gt; MTD","OK"))</f>
        <v/>
      </c>
      <c r="R7" s="39"/>
    </row>
    <row r="8" customFormat="false" ht="15" hidden="false" customHeight="false" outlineLevel="0" collapsed="false">
      <c r="A8" s="39"/>
      <c r="B8" s="39"/>
      <c r="C8" s="39"/>
      <c r="D8" s="39"/>
      <c r="E8" s="39"/>
      <c r="F8" s="39"/>
      <c r="G8" s="39"/>
      <c r="H8" s="39"/>
      <c r="I8" s="39"/>
      <c r="J8" s="39"/>
      <c r="K8" s="40"/>
      <c r="L8" s="40"/>
      <c r="M8" s="40"/>
      <c r="N8" s="39"/>
      <c r="O8" s="39"/>
      <c r="P8" s="41" t="str">
        <f aca="false">IF(K8="","",IF(K8&lt;=Tier1Max,"Tier 1",IF(K8&lt;=Tier2Max,"Tier 2",IF(K8&lt;=Tier3Max,"Tier 3","Tier 4"))))</f>
        <v/>
      </c>
      <c r="Q8" s="41" t="str">
        <f aca="false">IF(OR(K8="",L8=""),"",IF(L8&gt;K8,"RTO &gt; MTD","OK"))</f>
        <v/>
      </c>
      <c r="R8" s="39"/>
    </row>
    <row r="9" customFormat="false" ht="15" hidden="false" customHeight="false" outlineLevel="0" collapsed="false">
      <c r="A9" s="39"/>
      <c r="B9" s="39"/>
      <c r="C9" s="39"/>
      <c r="D9" s="39"/>
      <c r="E9" s="39"/>
      <c r="F9" s="39"/>
      <c r="G9" s="39"/>
      <c r="H9" s="39"/>
      <c r="I9" s="39"/>
      <c r="J9" s="39"/>
      <c r="K9" s="40"/>
      <c r="L9" s="40"/>
      <c r="M9" s="40"/>
      <c r="N9" s="39"/>
      <c r="O9" s="39"/>
      <c r="P9" s="41" t="str">
        <f aca="false">IF(K9="","",IF(K9&lt;=Tier1Max,"Tier 1",IF(K9&lt;=Tier2Max,"Tier 2",IF(K9&lt;=Tier3Max,"Tier 3","Tier 4"))))</f>
        <v/>
      </c>
      <c r="Q9" s="41" t="str">
        <f aca="false">IF(OR(K9="",L9=""),"",IF(L9&gt;K9,"RTO &gt; MTD","OK"))</f>
        <v/>
      </c>
      <c r="R9" s="39"/>
    </row>
    <row r="10" customFormat="false" ht="15" hidden="false" customHeight="false" outlineLevel="0" collapsed="false">
      <c r="A10" s="39"/>
      <c r="B10" s="39"/>
      <c r="C10" s="39"/>
      <c r="D10" s="39"/>
      <c r="E10" s="39"/>
      <c r="F10" s="39"/>
      <c r="G10" s="39"/>
      <c r="H10" s="39"/>
      <c r="I10" s="39"/>
      <c r="J10" s="39"/>
      <c r="K10" s="40"/>
      <c r="L10" s="40"/>
      <c r="M10" s="40"/>
      <c r="N10" s="39"/>
      <c r="O10" s="39"/>
      <c r="P10" s="41" t="str">
        <f aca="false">IF(K10="","",IF(K10&lt;=Tier1Max,"Tier 1",IF(K10&lt;=Tier2Max,"Tier 2",IF(K10&lt;=Tier3Max,"Tier 3","Tier 4"))))</f>
        <v/>
      </c>
      <c r="Q10" s="41" t="str">
        <f aca="false">IF(OR(K10="",L10=""),"",IF(L10&gt;K10,"RTO &gt; MTD","OK"))</f>
        <v/>
      </c>
      <c r="R10" s="39"/>
    </row>
    <row r="11" customFormat="false" ht="15" hidden="false" customHeight="false" outlineLevel="0" collapsed="false">
      <c r="A11" s="39"/>
      <c r="B11" s="39"/>
      <c r="C11" s="39"/>
      <c r="D11" s="39"/>
      <c r="E11" s="39"/>
      <c r="F11" s="39"/>
      <c r="G11" s="39"/>
      <c r="H11" s="39"/>
      <c r="I11" s="39"/>
      <c r="J11" s="39"/>
      <c r="K11" s="40"/>
      <c r="L11" s="40"/>
      <c r="M11" s="40"/>
      <c r="N11" s="39"/>
      <c r="O11" s="39"/>
      <c r="P11" s="41" t="str">
        <f aca="false">IF(K11="","",IF(K11&lt;=Tier1Max,"Tier 1",IF(K11&lt;=Tier2Max,"Tier 2",IF(K11&lt;=Tier3Max,"Tier 3","Tier 4"))))</f>
        <v/>
      </c>
      <c r="Q11" s="41" t="str">
        <f aca="false">IF(OR(K11="",L11=""),"",IF(L11&gt;K11,"RTO &gt; MTD","OK"))</f>
        <v/>
      </c>
      <c r="R11" s="39"/>
    </row>
    <row r="12" customFormat="false" ht="15" hidden="false" customHeight="false" outlineLevel="0" collapsed="false">
      <c r="A12" s="39"/>
      <c r="B12" s="39"/>
      <c r="C12" s="39"/>
      <c r="D12" s="39"/>
      <c r="E12" s="39"/>
      <c r="F12" s="39"/>
      <c r="G12" s="39"/>
      <c r="H12" s="39"/>
      <c r="I12" s="39"/>
      <c r="J12" s="39"/>
      <c r="K12" s="40"/>
      <c r="L12" s="40"/>
      <c r="M12" s="40"/>
      <c r="N12" s="39"/>
      <c r="O12" s="39"/>
      <c r="P12" s="41" t="str">
        <f aca="false">IF(K12="","",IF(K12&lt;=Tier1Max,"Tier 1",IF(K12&lt;=Tier2Max,"Tier 2",IF(K12&lt;=Tier3Max,"Tier 3","Tier 4"))))</f>
        <v/>
      </c>
      <c r="Q12" s="41" t="str">
        <f aca="false">IF(OR(K12="",L12=""),"",IF(L12&gt;K12,"RTO &gt; MTD","OK"))</f>
        <v/>
      </c>
      <c r="R12" s="39"/>
    </row>
    <row r="13" customFormat="false" ht="15" hidden="false" customHeight="false" outlineLevel="0" collapsed="false">
      <c r="A13" s="39"/>
      <c r="B13" s="39"/>
      <c r="C13" s="39"/>
      <c r="D13" s="39"/>
      <c r="E13" s="39"/>
      <c r="F13" s="39"/>
      <c r="G13" s="39"/>
      <c r="H13" s="39"/>
      <c r="I13" s="39"/>
      <c r="J13" s="39"/>
      <c r="K13" s="40"/>
      <c r="L13" s="40"/>
      <c r="M13" s="40"/>
      <c r="N13" s="39"/>
      <c r="O13" s="39"/>
      <c r="P13" s="41" t="str">
        <f aca="false">IF(K13="","",IF(K13&lt;=Tier1Max,"Tier 1",IF(K13&lt;=Tier2Max,"Tier 2",IF(K13&lt;=Tier3Max,"Tier 3","Tier 4"))))</f>
        <v/>
      </c>
      <c r="Q13" s="41" t="str">
        <f aca="false">IF(OR(K13="",L13=""),"",IF(L13&gt;K13,"RTO &gt; MTD","OK"))</f>
        <v/>
      </c>
      <c r="R13" s="39"/>
    </row>
    <row r="14" customFormat="false" ht="15" hidden="false" customHeight="false" outlineLevel="0" collapsed="false">
      <c r="A14" s="39"/>
      <c r="B14" s="39"/>
      <c r="C14" s="39"/>
      <c r="D14" s="39"/>
      <c r="E14" s="39"/>
      <c r="F14" s="39"/>
      <c r="G14" s="39"/>
      <c r="H14" s="39"/>
      <c r="I14" s="39"/>
      <c r="J14" s="39"/>
      <c r="K14" s="40"/>
      <c r="L14" s="40"/>
      <c r="M14" s="40"/>
      <c r="N14" s="39"/>
      <c r="O14" s="39"/>
      <c r="P14" s="41" t="str">
        <f aca="false">IF(K14="","",IF(K14&lt;=Tier1Max,"Tier 1",IF(K14&lt;=Tier2Max,"Tier 2",IF(K14&lt;=Tier3Max,"Tier 3","Tier 4"))))</f>
        <v/>
      </c>
      <c r="Q14" s="41" t="str">
        <f aca="false">IF(OR(K14="",L14=""),"",IF(L14&gt;K14,"RTO &gt; MTD","OK"))</f>
        <v/>
      </c>
      <c r="R14" s="39"/>
    </row>
    <row r="15" customFormat="false" ht="15" hidden="false" customHeight="false" outlineLevel="0" collapsed="false">
      <c r="A15" s="39"/>
      <c r="B15" s="39"/>
      <c r="C15" s="39"/>
      <c r="D15" s="39"/>
      <c r="E15" s="39"/>
      <c r="F15" s="39"/>
      <c r="G15" s="39"/>
      <c r="H15" s="39"/>
      <c r="I15" s="39"/>
      <c r="J15" s="39"/>
      <c r="K15" s="40"/>
      <c r="L15" s="40"/>
      <c r="M15" s="40"/>
      <c r="N15" s="39"/>
      <c r="O15" s="39"/>
      <c r="P15" s="41" t="str">
        <f aca="false">IF(K15="","",IF(K15&lt;=Tier1Max,"Tier 1",IF(K15&lt;=Tier2Max,"Tier 2",IF(K15&lt;=Tier3Max,"Tier 3","Tier 4"))))</f>
        <v/>
      </c>
      <c r="Q15" s="41" t="str">
        <f aca="false">IF(OR(K15="",L15=""),"",IF(L15&gt;K15,"RTO &gt; MTD","OK"))</f>
        <v/>
      </c>
      <c r="R15" s="39"/>
    </row>
    <row r="16" customFormat="false" ht="15" hidden="false" customHeight="false" outlineLevel="0" collapsed="false">
      <c r="A16" s="39"/>
      <c r="B16" s="39"/>
      <c r="C16" s="39"/>
      <c r="D16" s="39"/>
      <c r="E16" s="39"/>
      <c r="F16" s="39"/>
      <c r="G16" s="39"/>
      <c r="H16" s="39"/>
      <c r="I16" s="39"/>
      <c r="J16" s="39"/>
      <c r="K16" s="40"/>
      <c r="L16" s="40"/>
      <c r="M16" s="40"/>
      <c r="N16" s="39"/>
      <c r="O16" s="39"/>
      <c r="P16" s="41" t="str">
        <f aca="false">IF(K16="","",IF(K16&lt;=Tier1Max,"Tier 1",IF(K16&lt;=Tier2Max,"Tier 2",IF(K16&lt;=Tier3Max,"Tier 3","Tier 4"))))</f>
        <v/>
      </c>
      <c r="Q16" s="41" t="str">
        <f aca="false">IF(OR(K16="",L16=""),"",IF(L16&gt;K16,"RTO &gt; MTD","OK"))</f>
        <v/>
      </c>
      <c r="R16" s="39"/>
    </row>
    <row r="17" customFormat="false" ht="15" hidden="false" customHeight="false" outlineLevel="0" collapsed="false">
      <c r="A17" s="39"/>
      <c r="B17" s="39"/>
      <c r="C17" s="39"/>
      <c r="D17" s="39"/>
      <c r="E17" s="39"/>
      <c r="F17" s="39"/>
      <c r="G17" s="39"/>
      <c r="H17" s="39"/>
      <c r="I17" s="39"/>
      <c r="J17" s="39"/>
      <c r="K17" s="40"/>
      <c r="L17" s="40"/>
      <c r="M17" s="40"/>
      <c r="N17" s="39"/>
      <c r="O17" s="39"/>
      <c r="P17" s="41" t="str">
        <f aca="false">IF(K17="","",IF(K17&lt;=Tier1Max,"Tier 1",IF(K17&lt;=Tier2Max,"Tier 2",IF(K17&lt;=Tier3Max,"Tier 3","Tier 4"))))</f>
        <v/>
      </c>
      <c r="Q17" s="41" t="str">
        <f aca="false">IF(OR(K17="",L17=""),"",IF(L17&gt;K17,"RTO &gt; MTD","OK"))</f>
        <v/>
      </c>
      <c r="R17" s="39"/>
    </row>
    <row r="18" customFormat="false" ht="15" hidden="false" customHeight="false" outlineLevel="0" collapsed="false">
      <c r="A18" s="39"/>
      <c r="B18" s="39"/>
      <c r="C18" s="39"/>
      <c r="D18" s="39"/>
      <c r="E18" s="39"/>
      <c r="F18" s="39"/>
      <c r="G18" s="39"/>
      <c r="H18" s="39"/>
      <c r="I18" s="39"/>
      <c r="J18" s="39"/>
      <c r="K18" s="40"/>
      <c r="L18" s="40"/>
      <c r="M18" s="40"/>
      <c r="N18" s="39"/>
      <c r="O18" s="39"/>
      <c r="P18" s="41" t="str">
        <f aca="false">IF(K18="","",IF(K18&lt;=Tier1Max,"Tier 1",IF(K18&lt;=Tier2Max,"Tier 2",IF(K18&lt;=Tier3Max,"Tier 3","Tier 4"))))</f>
        <v/>
      </c>
      <c r="Q18" s="41" t="str">
        <f aca="false">IF(OR(K18="",L18=""),"",IF(L18&gt;K18,"RTO &gt; MTD","OK"))</f>
        <v/>
      </c>
      <c r="R18" s="39"/>
    </row>
    <row r="19" customFormat="false" ht="15" hidden="false" customHeight="false" outlineLevel="0" collapsed="false">
      <c r="A19" s="39"/>
      <c r="B19" s="39"/>
      <c r="C19" s="39"/>
      <c r="D19" s="39"/>
      <c r="E19" s="39"/>
      <c r="F19" s="39"/>
      <c r="G19" s="39"/>
      <c r="H19" s="39"/>
      <c r="I19" s="39"/>
      <c r="J19" s="39"/>
      <c r="K19" s="40"/>
      <c r="L19" s="40"/>
      <c r="M19" s="40"/>
      <c r="N19" s="39"/>
      <c r="O19" s="39"/>
      <c r="P19" s="41" t="str">
        <f aca="false">IF(K19="","",IF(K19&lt;=Tier1Max,"Tier 1",IF(K19&lt;=Tier2Max,"Tier 2",IF(K19&lt;=Tier3Max,"Tier 3","Tier 4"))))</f>
        <v/>
      </c>
      <c r="Q19" s="41" t="str">
        <f aca="false">IF(OR(K19="",L19=""),"",IF(L19&gt;K19,"RTO &gt; MTD","OK"))</f>
        <v/>
      </c>
      <c r="R19" s="39"/>
    </row>
    <row r="20" customFormat="false" ht="15" hidden="false" customHeight="false" outlineLevel="0" collapsed="false">
      <c r="A20" s="39"/>
      <c r="B20" s="39"/>
      <c r="C20" s="39"/>
      <c r="D20" s="39"/>
      <c r="E20" s="39"/>
      <c r="F20" s="39"/>
      <c r="G20" s="39"/>
      <c r="H20" s="39"/>
      <c r="I20" s="39"/>
      <c r="J20" s="39"/>
      <c r="K20" s="40"/>
      <c r="L20" s="40"/>
      <c r="M20" s="40"/>
      <c r="N20" s="39"/>
      <c r="O20" s="39"/>
      <c r="P20" s="41" t="str">
        <f aca="false">IF(K20="","",IF(K20&lt;=Tier1Max,"Tier 1",IF(K20&lt;=Tier2Max,"Tier 2",IF(K20&lt;=Tier3Max,"Tier 3","Tier 4"))))</f>
        <v/>
      </c>
      <c r="Q20" s="41" t="str">
        <f aca="false">IF(OR(K20="",L20=""),"",IF(L20&gt;K20,"RTO &gt; MTD","OK"))</f>
        <v/>
      </c>
      <c r="R20" s="39"/>
    </row>
    <row r="21" customFormat="false" ht="15" hidden="false" customHeight="false" outlineLevel="0" collapsed="false">
      <c r="A21" s="39"/>
      <c r="B21" s="39"/>
      <c r="C21" s="39"/>
      <c r="D21" s="39"/>
      <c r="E21" s="39"/>
      <c r="F21" s="39"/>
      <c r="G21" s="39"/>
      <c r="H21" s="39"/>
      <c r="I21" s="39"/>
      <c r="J21" s="39"/>
      <c r="K21" s="40"/>
      <c r="L21" s="40"/>
      <c r="M21" s="40"/>
      <c r="N21" s="39"/>
      <c r="O21" s="39"/>
      <c r="P21" s="41" t="str">
        <f aca="false">IF(K21="","",IF(K21&lt;=Tier1Max,"Tier 1",IF(K21&lt;=Tier2Max,"Tier 2",IF(K21&lt;=Tier3Max,"Tier 3","Tier 4"))))</f>
        <v/>
      </c>
      <c r="Q21" s="41" t="str">
        <f aca="false">IF(OR(K21="",L21=""),"",IF(L21&gt;K21,"RTO &gt; MTD","OK"))</f>
        <v/>
      </c>
      <c r="R21" s="39"/>
    </row>
    <row r="22" customFormat="false" ht="15" hidden="false" customHeight="false" outlineLevel="0" collapsed="false">
      <c r="A22" s="39"/>
      <c r="B22" s="39"/>
      <c r="C22" s="39"/>
      <c r="D22" s="39"/>
      <c r="E22" s="39"/>
      <c r="F22" s="39"/>
      <c r="G22" s="39"/>
      <c r="H22" s="39"/>
      <c r="I22" s="39"/>
      <c r="J22" s="39"/>
      <c r="K22" s="40"/>
      <c r="L22" s="40"/>
      <c r="M22" s="40"/>
      <c r="N22" s="39"/>
      <c r="O22" s="39"/>
      <c r="P22" s="41" t="str">
        <f aca="false">IF(K22="","",IF(K22&lt;=Tier1Max,"Tier 1",IF(K22&lt;=Tier2Max,"Tier 2",IF(K22&lt;=Tier3Max,"Tier 3","Tier 4"))))</f>
        <v/>
      </c>
      <c r="Q22" s="41" t="str">
        <f aca="false">IF(OR(K22="",L22=""),"",IF(L22&gt;K22,"RTO &gt; MTD","OK"))</f>
        <v/>
      </c>
      <c r="R22" s="39"/>
    </row>
    <row r="23" customFormat="false" ht="15" hidden="false" customHeight="false" outlineLevel="0" collapsed="false">
      <c r="A23" s="39"/>
      <c r="B23" s="39"/>
      <c r="C23" s="39"/>
      <c r="D23" s="39"/>
      <c r="E23" s="39"/>
      <c r="F23" s="39"/>
      <c r="G23" s="39"/>
      <c r="H23" s="39"/>
      <c r="I23" s="39"/>
      <c r="J23" s="39"/>
      <c r="K23" s="40"/>
      <c r="L23" s="40"/>
      <c r="M23" s="40"/>
      <c r="N23" s="39"/>
      <c r="O23" s="39"/>
      <c r="P23" s="41" t="str">
        <f aca="false">IF(K23="","",IF(K23&lt;=Tier1Max,"Tier 1",IF(K23&lt;=Tier2Max,"Tier 2",IF(K23&lt;=Tier3Max,"Tier 3","Tier 4"))))</f>
        <v/>
      </c>
      <c r="Q23" s="41" t="str">
        <f aca="false">IF(OR(K23="",L23=""),"",IF(L23&gt;K23,"RTO &gt; MTD","OK"))</f>
        <v/>
      </c>
      <c r="R23" s="39"/>
    </row>
    <row r="24" customFormat="false" ht="15" hidden="false" customHeight="false" outlineLevel="0" collapsed="false">
      <c r="A24" s="39"/>
      <c r="B24" s="39"/>
      <c r="C24" s="39"/>
      <c r="D24" s="39"/>
      <c r="E24" s="39"/>
      <c r="F24" s="39"/>
      <c r="G24" s="39"/>
      <c r="H24" s="39"/>
      <c r="I24" s="39"/>
      <c r="J24" s="39"/>
      <c r="K24" s="40"/>
      <c r="L24" s="40"/>
      <c r="M24" s="40"/>
      <c r="N24" s="39"/>
      <c r="O24" s="39"/>
      <c r="P24" s="41" t="str">
        <f aca="false">IF(K24="","",IF(K24&lt;=Tier1Max,"Tier 1",IF(K24&lt;=Tier2Max,"Tier 2",IF(K24&lt;=Tier3Max,"Tier 3","Tier 4"))))</f>
        <v/>
      </c>
      <c r="Q24" s="41" t="str">
        <f aca="false">IF(OR(K24="",L24=""),"",IF(L24&gt;K24,"RTO &gt; MTD","OK"))</f>
        <v/>
      </c>
      <c r="R24" s="39"/>
    </row>
    <row r="25" customFormat="false" ht="15" hidden="false" customHeight="false" outlineLevel="0" collapsed="false">
      <c r="A25" s="39"/>
      <c r="B25" s="39"/>
      <c r="C25" s="39"/>
      <c r="D25" s="39"/>
      <c r="E25" s="39"/>
      <c r="F25" s="39"/>
      <c r="G25" s="39"/>
      <c r="H25" s="39"/>
      <c r="I25" s="39"/>
      <c r="J25" s="39"/>
      <c r="K25" s="40"/>
      <c r="L25" s="40"/>
      <c r="M25" s="40"/>
      <c r="N25" s="39"/>
      <c r="O25" s="39"/>
      <c r="P25" s="41" t="str">
        <f aca="false">IF(K25="","",IF(K25&lt;=Tier1Max,"Tier 1",IF(K25&lt;=Tier2Max,"Tier 2",IF(K25&lt;=Tier3Max,"Tier 3","Tier 4"))))</f>
        <v/>
      </c>
      <c r="Q25" s="41" t="str">
        <f aca="false">IF(OR(K25="",L25=""),"",IF(L25&gt;K25,"RTO &gt; MTD","OK"))</f>
        <v/>
      </c>
      <c r="R25" s="39"/>
    </row>
    <row r="26" customFormat="false" ht="15" hidden="false" customHeight="false" outlineLevel="0" collapsed="false">
      <c r="A26" s="39"/>
      <c r="B26" s="39"/>
      <c r="C26" s="39"/>
      <c r="D26" s="39"/>
      <c r="E26" s="39"/>
      <c r="F26" s="39"/>
      <c r="G26" s="39"/>
      <c r="H26" s="39"/>
      <c r="I26" s="39"/>
      <c r="J26" s="39"/>
      <c r="K26" s="40"/>
      <c r="L26" s="40"/>
      <c r="M26" s="40"/>
      <c r="N26" s="39"/>
      <c r="O26" s="39"/>
      <c r="P26" s="41" t="str">
        <f aca="false">IF(K26="","",IF(K26&lt;=Tier1Max,"Tier 1",IF(K26&lt;=Tier2Max,"Tier 2",IF(K26&lt;=Tier3Max,"Tier 3","Tier 4"))))</f>
        <v/>
      </c>
      <c r="Q26" s="41" t="str">
        <f aca="false">IF(OR(K26="",L26=""),"",IF(L26&gt;K26,"RTO &gt; MTD","OK"))</f>
        <v/>
      </c>
      <c r="R26" s="39"/>
    </row>
    <row r="27" customFormat="false" ht="15" hidden="false" customHeight="false" outlineLevel="0" collapsed="false">
      <c r="A27" s="39"/>
      <c r="B27" s="39"/>
      <c r="C27" s="39"/>
      <c r="D27" s="39"/>
      <c r="E27" s="39"/>
      <c r="F27" s="39"/>
      <c r="G27" s="39"/>
      <c r="H27" s="39"/>
      <c r="I27" s="39"/>
      <c r="J27" s="39"/>
      <c r="K27" s="40"/>
      <c r="L27" s="40"/>
      <c r="M27" s="40"/>
      <c r="N27" s="39"/>
      <c r="O27" s="39"/>
      <c r="P27" s="41" t="str">
        <f aca="false">IF(K27="","",IF(K27&lt;=Tier1Max,"Tier 1",IF(K27&lt;=Tier2Max,"Tier 2",IF(K27&lt;=Tier3Max,"Tier 3","Tier 4"))))</f>
        <v/>
      </c>
      <c r="Q27" s="41" t="str">
        <f aca="false">IF(OR(K27="",L27=""),"",IF(L27&gt;K27,"RTO &gt; MTD","OK"))</f>
        <v/>
      </c>
      <c r="R27" s="39"/>
    </row>
    <row r="28" customFormat="false" ht="15" hidden="false" customHeight="false" outlineLevel="0" collapsed="false">
      <c r="A28" s="39"/>
      <c r="B28" s="39"/>
      <c r="C28" s="39"/>
      <c r="D28" s="39"/>
      <c r="E28" s="39"/>
      <c r="F28" s="39"/>
      <c r="G28" s="39"/>
      <c r="H28" s="39"/>
      <c r="I28" s="39"/>
      <c r="J28" s="39"/>
      <c r="K28" s="40"/>
      <c r="L28" s="40"/>
      <c r="M28" s="40"/>
      <c r="N28" s="39"/>
      <c r="O28" s="39"/>
      <c r="P28" s="41" t="str">
        <f aca="false">IF(K28="","",IF(K28&lt;=Tier1Max,"Tier 1",IF(K28&lt;=Tier2Max,"Tier 2",IF(K28&lt;=Tier3Max,"Tier 3","Tier 4"))))</f>
        <v/>
      </c>
      <c r="Q28" s="41" t="str">
        <f aca="false">IF(OR(K28="",L28=""),"",IF(L28&gt;K28,"RTO &gt; MTD","OK"))</f>
        <v/>
      </c>
      <c r="R28" s="39"/>
    </row>
    <row r="29" customFormat="false" ht="15" hidden="false" customHeight="false" outlineLevel="0" collapsed="false">
      <c r="A29" s="39"/>
      <c r="B29" s="39"/>
      <c r="C29" s="39"/>
      <c r="D29" s="39"/>
      <c r="E29" s="39"/>
      <c r="F29" s="39"/>
      <c r="G29" s="39"/>
      <c r="H29" s="39"/>
      <c r="I29" s="39"/>
      <c r="J29" s="39"/>
      <c r="K29" s="40"/>
      <c r="L29" s="40"/>
      <c r="M29" s="40"/>
      <c r="N29" s="39"/>
      <c r="O29" s="39"/>
      <c r="P29" s="41" t="str">
        <f aca="false">IF(K29="","",IF(K29&lt;=Tier1Max,"Tier 1",IF(K29&lt;=Tier2Max,"Tier 2",IF(K29&lt;=Tier3Max,"Tier 3","Tier 4"))))</f>
        <v/>
      </c>
      <c r="Q29" s="41" t="str">
        <f aca="false">IF(OR(K29="",L29=""),"",IF(L29&gt;K29,"RTO &gt; MTD","OK"))</f>
        <v/>
      </c>
      <c r="R29" s="39"/>
    </row>
    <row r="30" customFormat="false" ht="15" hidden="false" customHeight="false" outlineLevel="0" collapsed="false">
      <c r="A30" s="39"/>
      <c r="B30" s="39"/>
      <c r="C30" s="39"/>
      <c r="D30" s="39"/>
      <c r="E30" s="39"/>
      <c r="F30" s="39"/>
      <c r="G30" s="39"/>
      <c r="H30" s="39"/>
      <c r="I30" s="39"/>
      <c r="J30" s="39"/>
      <c r="K30" s="40"/>
      <c r="L30" s="40"/>
      <c r="M30" s="40"/>
      <c r="N30" s="39"/>
      <c r="O30" s="39"/>
      <c r="P30" s="41" t="str">
        <f aca="false">IF(K30="","",IF(K30&lt;=Tier1Max,"Tier 1",IF(K30&lt;=Tier2Max,"Tier 2",IF(K30&lt;=Tier3Max,"Tier 3","Tier 4"))))</f>
        <v/>
      </c>
      <c r="Q30" s="41" t="str">
        <f aca="false">IF(OR(K30="",L30=""),"",IF(L30&gt;K30,"RTO &gt; MTD","OK"))</f>
        <v/>
      </c>
      <c r="R30" s="39"/>
    </row>
    <row r="31" customFormat="false" ht="15" hidden="false" customHeight="false" outlineLevel="0" collapsed="false">
      <c r="A31" s="39"/>
      <c r="B31" s="39"/>
      <c r="C31" s="39"/>
      <c r="D31" s="39"/>
      <c r="E31" s="39"/>
      <c r="F31" s="39"/>
      <c r="G31" s="39"/>
      <c r="H31" s="39"/>
      <c r="I31" s="39"/>
      <c r="J31" s="39"/>
      <c r="K31" s="40"/>
      <c r="L31" s="40"/>
      <c r="M31" s="40"/>
      <c r="N31" s="39"/>
      <c r="O31" s="39"/>
      <c r="P31" s="41" t="str">
        <f aca="false">IF(K31="","",IF(K31&lt;=Tier1Max,"Tier 1",IF(K31&lt;=Tier2Max,"Tier 2",IF(K31&lt;=Tier3Max,"Tier 3","Tier 4"))))</f>
        <v/>
      </c>
      <c r="Q31" s="41" t="str">
        <f aca="false">IF(OR(K31="",L31=""),"",IF(L31&gt;K31,"RTO &gt; MTD","OK"))</f>
        <v/>
      </c>
      <c r="R31" s="39"/>
    </row>
    <row r="32" customFormat="false" ht="15" hidden="false" customHeight="false" outlineLevel="0" collapsed="false">
      <c r="A32" s="39"/>
      <c r="B32" s="39"/>
      <c r="C32" s="39"/>
      <c r="D32" s="39"/>
      <c r="E32" s="39"/>
      <c r="F32" s="39"/>
      <c r="G32" s="39"/>
      <c r="H32" s="39"/>
      <c r="I32" s="39"/>
      <c r="J32" s="39"/>
      <c r="K32" s="40"/>
      <c r="L32" s="40"/>
      <c r="M32" s="40"/>
      <c r="N32" s="39"/>
      <c r="O32" s="39"/>
      <c r="P32" s="41" t="str">
        <f aca="false">IF(K32="","",IF(K32&lt;=Tier1Max,"Tier 1",IF(K32&lt;=Tier2Max,"Tier 2",IF(K32&lt;=Tier3Max,"Tier 3","Tier 4"))))</f>
        <v/>
      </c>
      <c r="Q32" s="41" t="str">
        <f aca="false">IF(OR(K32="",L32=""),"",IF(L32&gt;K32,"RTO &gt; MTD","OK"))</f>
        <v/>
      </c>
      <c r="R32" s="39"/>
    </row>
    <row r="33" customFormat="false" ht="15" hidden="false" customHeight="false" outlineLevel="0" collapsed="false">
      <c r="A33" s="39"/>
      <c r="B33" s="39"/>
      <c r="C33" s="39"/>
      <c r="D33" s="39"/>
      <c r="E33" s="39"/>
      <c r="F33" s="39"/>
      <c r="G33" s="39"/>
      <c r="H33" s="39"/>
      <c r="I33" s="39"/>
      <c r="J33" s="39"/>
      <c r="K33" s="40"/>
      <c r="L33" s="40"/>
      <c r="M33" s="40"/>
      <c r="N33" s="39"/>
      <c r="O33" s="39"/>
      <c r="P33" s="41" t="str">
        <f aca="false">IF(K33="","",IF(K33&lt;=Tier1Max,"Tier 1",IF(K33&lt;=Tier2Max,"Tier 2",IF(K33&lt;=Tier3Max,"Tier 3","Tier 4"))))</f>
        <v/>
      </c>
      <c r="Q33" s="41" t="str">
        <f aca="false">IF(OR(K33="",L33=""),"",IF(L33&gt;K33,"RTO &gt; MTD","OK"))</f>
        <v/>
      </c>
      <c r="R33" s="39"/>
    </row>
    <row r="34" customFormat="false" ht="15" hidden="false" customHeight="false" outlineLevel="0" collapsed="false">
      <c r="A34" s="39"/>
      <c r="B34" s="39"/>
      <c r="C34" s="39"/>
      <c r="D34" s="39"/>
      <c r="E34" s="39"/>
      <c r="F34" s="39"/>
      <c r="G34" s="39"/>
      <c r="H34" s="39"/>
      <c r="I34" s="39"/>
      <c r="J34" s="39"/>
      <c r="K34" s="40"/>
      <c r="L34" s="40"/>
      <c r="M34" s="40"/>
      <c r="N34" s="39"/>
      <c r="O34" s="39"/>
      <c r="P34" s="41" t="str">
        <f aca="false">IF(K34="","",IF(K34&lt;=Tier1Max,"Tier 1",IF(K34&lt;=Tier2Max,"Tier 2",IF(K34&lt;=Tier3Max,"Tier 3","Tier 4"))))</f>
        <v/>
      </c>
      <c r="Q34" s="41" t="str">
        <f aca="false">IF(OR(K34="",L34=""),"",IF(L34&gt;K34,"RTO &gt; MTD","OK"))</f>
        <v/>
      </c>
      <c r="R34" s="39"/>
    </row>
    <row r="35" customFormat="false" ht="15" hidden="false" customHeight="false" outlineLevel="0" collapsed="false">
      <c r="A35" s="39"/>
      <c r="B35" s="39"/>
      <c r="C35" s="39"/>
      <c r="D35" s="39"/>
      <c r="E35" s="39"/>
      <c r="F35" s="39"/>
      <c r="G35" s="39"/>
      <c r="H35" s="39"/>
      <c r="I35" s="39"/>
      <c r="J35" s="39"/>
      <c r="K35" s="40"/>
      <c r="L35" s="40"/>
      <c r="M35" s="40"/>
      <c r="N35" s="39"/>
      <c r="O35" s="39"/>
      <c r="P35" s="41" t="str">
        <f aca="false">IF(K35="","",IF(K35&lt;=Tier1Max,"Tier 1",IF(K35&lt;=Tier2Max,"Tier 2",IF(K35&lt;=Tier3Max,"Tier 3","Tier 4"))))</f>
        <v/>
      </c>
      <c r="Q35" s="41" t="str">
        <f aca="false">IF(OR(K35="",L35=""),"",IF(L35&gt;K35,"RTO &gt; MTD","OK"))</f>
        <v/>
      </c>
      <c r="R35" s="39"/>
    </row>
    <row r="36" customFormat="false" ht="15" hidden="false" customHeight="false" outlineLevel="0" collapsed="false">
      <c r="A36" s="39"/>
      <c r="B36" s="39"/>
      <c r="C36" s="39"/>
      <c r="D36" s="39"/>
      <c r="E36" s="39"/>
      <c r="F36" s="39"/>
      <c r="G36" s="39"/>
      <c r="H36" s="39"/>
      <c r="I36" s="39"/>
      <c r="J36" s="39"/>
      <c r="K36" s="40"/>
      <c r="L36" s="40"/>
      <c r="M36" s="40"/>
      <c r="N36" s="39"/>
      <c r="O36" s="39"/>
      <c r="P36" s="41" t="str">
        <f aca="false">IF(K36="","",IF(K36&lt;=Tier1Max,"Tier 1",IF(K36&lt;=Tier2Max,"Tier 2",IF(K36&lt;=Tier3Max,"Tier 3","Tier 4"))))</f>
        <v/>
      </c>
      <c r="Q36" s="41" t="str">
        <f aca="false">IF(OR(K36="",L36=""),"",IF(L36&gt;K36,"RTO &gt; MTD","OK"))</f>
        <v/>
      </c>
      <c r="R36" s="39"/>
    </row>
    <row r="37" customFormat="false" ht="15" hidden="false" customHeight="false" outlineLevel="0" collapsed="false">
      <c r="A37" s="39"/>
      <c r="B37" s="39"/>
      <c r="C37" s="39"/>
      <c r="D37" s="39"/>
      <c r="E37" s="39"/>
      <c r="F37" s="39"/>
      <c r="G37" s="39"/>
      <c r="H37" s="39"/>
      <c r="I37" s="39"/>
      <c r="J37" s="39"/>
      <c r="K37" s="40"/>
      <c r="L37" s="40"/>
      <c r="M37" s="40"/>
      <c r="N37" s="39"/>
      <c r="O37" s="39"/>
      <c r="P37" s="41" t="str">
        <f aca="false">IF(K37="","",IF(K37&lt;=Tier1Max,"Tier 1",IF(K37&lt;=Tier2Max,"Tier 2",IF(K37&lt;=Tier3Max,"Tier 3","Tier 4"))))</f>
        <v/>
      </c>
      <c r="Q37" s="41" t="str">
        <f aca="false">IF(OR(K37="",L37=""),"",IF(L37&gt;K37,"RTO &gt; MTD","OK"))</f>
        <v/>
      </c>
      <c r="R37" s="39"/>
    </row>
    <row r="38" customFormat="false" ht="15" hidden="false" customHeight="false" outlineLevel="0" collapsed="false">
      <c r="A38" s="39"/>
      <c r="B38" s="39"/>
      <c r="C38" s="39"/>
      <c r="D38" s="39"/>
      <c r="E38" s="39"/>
      <c r="F38" s="39"/>
      <c r="G38" s="39"/>
      <c r="H38" s="39"/>
      <c r="I38" s="39"/>
      <c r="J38" s="39"/>
      <c r="K38" s="40"/>
      <c r="L38" s="40"/>
      <c r="M38" s="40"/>
      <c r="N38" s="39"/>
      <c r="O38" s="39"/>
      <c r="P38" s="41" t="str">
        <f aca="false">IF(K38="","",IF(K38&lt;=Tier1Max,"Tier 1",IF(K38&lt;=Tier2Max,"Tier 2",IF(K38&lt;=Tier3Max,"Tier 3","Tier 4"))))</f>
        <v/>
      </c>
      <c r="Q38" s="41" t="str">
        <f aca="false">IF(OR(K38="",L38=""),"",IF(L38&gt;K38,"RTO &gt; MTD","OK"))</f>
        <v/>
      </c>
      <c r="R38" s="39"/>
    </row>
    <row r="39" customFormat="false" ht="15" hidden="false" customHeight="false" outlineLevel="0" collapsed="false">
      <c r="A39" s="39"/>
      <c r="B39" s="39"/>
      <c r="C39" s="39"/>
      <c r="D39" s="39"/>
      <c r="E39" s="39"/>
      <c r="F39" s="39"/>
      <c r="G39" s="39"/>
      <c r="H39" s="39"/>
      <c r="I39" s="39"/>
      <c r="J39" s="39"/>
      <c r="K39" s="40"/>
      <c r="L39" s="40"/>
      <c r="M39" s="40"/>
      <c r="N39" s="39"/>
      <c r="O39" s="39"/>
      <c r="P39" s="41" t="str">
        <f aca="false">IF(K39="","",IF(K39&lt;=Tier1Max,"Tier 1",IF(K39&lt;=Tier2Max,"Tier 2",IF(K39&lt;=Tier3Max,"Tier 3","Tier 4"))))</f>
        <v/>
      </c>
      <c r="Q39" s="41" t="str">
        <f aca="false">IF(OR(K39="",L39=""),"",IF(L39&gt;K39,"RTO &gt; MTD","OK"))</f>
        <v/>
      </c>
      <c r="R39" s="39"/>
    </row>
    <row r="40" customFormat="false" ht="15" hidden="false" customHeight="false" outlineLevel="0" collapsed="false">
      <c r="A40" s="39"/>
      <c r="B40" s="39"/>
      <c r="C40" s="39"/>
      <c r="D40" s="39"/>
      <c r="E40" s="39"/>
      <c r="F40" s="39"/>
      <c r="G40" s="39"/>
      <c r="H40" s="39"/>
      <c r="I40" s="39"/>
      <c r="J40" s="39"/>
      <c r="K40" s="40"/>
      <c r="L40" s="40"/>
      <c r="M40" s="40"/>
      <c r="N40" s="39"/>
      <c r="O40" s="39"/>
      <c r="P40" s="41" t="str">
        <f aca="false">IF(K40="","",IF(K40&lt;=Tier1Max,"Tier 1",IF(K40&lt;=Tier2Max,"Tier 2",IF(K40&lt;=Tier3Max,"Tier 3","Tier 4"))))</f>
        <v/>
      </c>
      <c r="Q40" s="41" t="str">
        <f aca="false">IF(OR(K40="",L40=""),"",IF(L40&gt;K40,"RTO &gt; MTD","OK"))</f>
        <v/>
      </c>
      <c r="R40" s="39"/>
    </row>
    <row r="41" customFormat="false" ht="15" hidden="false" customHeight="false" outlineLevel="0" collapsed="false">
      <c r="A41" s="39"/>
      <c r="B41" s="39"/>
      <c r="C41" s="39"/>
      <c r="D41" s="39"/>
      <c r="E41" s="39"/>
      <c r="F41" s="39"/>
      <c r="G41" s="39"/>
      <c r="H41" s="39"/>
      <c r="I41" s="39"/>
      <c r="J41" s="39"/>
      <c r="K41" s="40"/>
      <c r="L41" s="40"/>
      <c r="M41" s="40"/>
      <c r="N41" s="39"/>
      <c r="O41" s="39"/>
      <c r="P41" s="41" t="str">
        <f aca="false">IF(K41="","",IF(K41&lt;=Tier1Max,"Tier 1",IF(K41&lt;=Tier2Max,"Tier 2",IF(K41&lt;=Tier3Max,"Tier 3","Tier 4"))))</f>
        <v/>
      </c>
      <c r="Q41" s="41" t="str">
        <f aca="false">IF(OR(K41="",L41=""),"",IF(L41&gt;K41,"RTO &gt; MTD","OK"))</f>
        <v/>
      </c>
      <c r="R41" s="39"/>
    </row>
    <row r="42" customFormat="false" ht="15" hidden="false" customHeight="false" outlineLevel="0" collapsed="false">
      <c r="A42" s="39"/>
      <c r="B42" s="39"/>
      <c r="C42" s="39"/>
      <c r="D42" s="39"/>
      <c r="E42" s="39"/>
      <c r="F42" s="39"/>
      <c r="G42" s="39"/>
      <c r="H42" s="39"/>
      <c r="I42" s="39"/>
      <c r="J42" s="39"/>
      <c r="K42" s="40"/>
      <c r="L42" s="40"/>
      <c r="M42" s="40"/>
      <c r="N42" s="39"/>
      <c r="O42" s="39"/>
      <c r="P42" s="41" t="str">
        <f aca="false">IF(K42="","",IF(K42&lt;=Tier1Max,"Tier 1",IF(K42&lt;=Tier2Max,"Tier 2",IF(K42&lt;=Tier3Max,"Tier 3","Tier 4"))))</f>
        <v/>
      </c>
      <c r="Q42" s="41" t="str">
        <f aca="false">IF(OR(K42="",L42=""),"",IF(L42&gt;K42,"RTO &gt; MTD","OK"))</f>
        <v/>
      </c>
      <c r="R42" s="39"/>
    </row>
    <row r="43" customFormat="false" ht="15" hidden="false" customHeight="false" outlineLevel="0" collapsed="false">
      <c r="A43" s="39"/>
      <c r="B43" s="39"/>
      <c r="C43" s="39"/>
      <c r="D43" s="39"/>
      <c r="E43" s="39"/>
      <c r="F43" s="39"/>
      <c r="G43" s="39"/>
      <c r="H43" s="39"/>
      <c r="I43" s="39"/>
      <c r="J43" s="39"/>
      <c r="K43" s="40"/>
      <c r="L43" s="40"/>
      <c r="M43" s="40"/>
      <c r="N43" s="39"/>
      <c r="O43" s="39"/>
      <c r="P43" s="41" t="str">
        <f aca="false">IF(K43="","",IF(K43&lt;=Tier1Max,"Tier 1",IF(K43&lt;=Tier2Max,"Tier 2",IF(K43&lt;=Tier3Max,"Tier 3","Tier 4"))))</f>
        <v/>
      </c>
      <c r="Q43" s="41" t="str">
        <f aca="false">IF(OR(K43="",L43=""),"",IF(L43&gt;K43,"RTO &gt; MTD","OK"))</f>
        <v/>
      </c>
      <c r="R43" s="39"/>
    </row>
    <row r="44" customFormat="false" ht="15" hidden="false" customHeight="false" outlineLevel="0" collapsed="false">
      <c r="A44" s="39"/>
      <c r="B44" s="39"/>
      <c r="C44" s="39"/>
      <c r="D44" s="39"/>
      <c r="E44" s="39"/>
      <c r="F44" s="39"/>
      <c r="G44" s="39"/>
      <c r="H44" s="39"/>
      <c r="I44" s="39"/>
      <c r="J44" s="39"/>
      <c r="K44" s="40"/>
      <c r="L44" s="40"/>
      <c r="M44" s="40"/>
      <c r="N44" s="39"/>
      <c r="O44" s="39"/>
      <c r="P44" s="41" t="str">
        <f aca="false">IF(K44="","",IF(K44&lt;=Tier1Max,"Tier 1",IF(K44&lt;=Tier2Max,"Tier 2",IF(K44&lt;=Tier3Max,"Tier 3","Tier 4"))))</f>
        <v/>
      </c>
      <c r="Q44" s="41" t="str">
        <f aca="false">IF(OR(K44="",L44=""),"",IF(L44&gt;K44,"RTO &gt; MTD","OK"))</f>
        <v/>
      </c>
      <c r="R44" s="39"/>
    </row>
    <row r="45" customFormat="false" ht="15" hidden="false" customHeight="false" outlineLevel="0" collapsed="false">
      <c r="A45" s="39"/>
      <c r="B45" s="39"/>
      <c r="C45" s="39"/>
      <c r="D45" s="39"/>
      <c r="E45" s="39"/>
      <c r="F45" s="39"/>
      <c r="G45" s="39"/>
      <c r="H45" s="39"/>
      <c r="I45" s="39"/>
      <c r="J45" s="39"/>
      <c r="K45" s="40"/>
      <c r="L45" s="40"/>
      <c r="M45" s="40"/>
      <c r="N45" s="39"/>
      <c r="O45" s="39"/>
      <c r="P45" s="41" t="str">
        <f aca="false">IF(K45="","",IF(K45&lt;=Tier1Max,"Tier 1",IF(K45&lt;=Tier2Max,"Tier 2",IF(K45&lt;=Tier3Max,"Tier 3","Tier 4"))))</f>
        <v/>
      </c>
      <c r="Q45" s="41" t="str">
        <f aca="false">IF(OR(K45="",L45=""),"",IF(L45&gt;K45,"RTO &gt; MTD","OK"))</f>
        <v/>
      </c>
      <c r="R45" s="39"/>
    </row>
    <row r="46" customFormat="false" ht="15" hidden="false" customHeight="false" outlineLevel="0" collapsed="false">
      <c r="A46" s="39"/>
      <c r="B46" s="39"/>
      <c r="C46" s="39"/>
      <c r="D46" s="39"/>
      <c r="E46" s="39"/>
      <c r="F46" s="39"/>
      <c r="G46" s="39"/>
      <c r="H46" s="39"/>
      <c r="I46" s="39"/>
      <c r="J46" s="39"/>
      <c r="K46" s="40"/>
      <c r="L46" s="40"/>
      <c r="M46" s="40"/>
      <c r="N46" s="39"/>
      <c r="O46" s="39"/>
      <c r="P46" s="41" t="str">
        <f aca="false">IF(K46="","",IF(K46&lt;=Tier1Max,"Tier 1",IF(K46&lt;=Tier2Max,"Tier 2",IF(K46&lt;=Tier3Max,"Tier 3","Tier 4"))))</f>
        <v/>
      </c>
      <c r="Q46" s="41" t="str">
        <f aca="false">IF(OR(K46="",L46=""),"",IF(L46&gt;K46,"RTO &gt; MTD","OK"))</f>
        <v/>
      </c>
      <c r="R46" s="39"/>
    </row>
    <row r="47" customFormat="false" ht="15" hidden="false" customHeight="false" outlineLevel="0" collapsed="false">
      <c r="A47" s="39"/>
      <c r="B47" s="39"/>
      <c r="C47" s="39"/>
      <c r="D47" s="39"/>
      <c r="E47" s="39"/>
      <c r="F47" s="39"/>
      <c r="G47" s="39"/>
      <c r="H47" s="39"/>
      <c r="I47" s="39"/>
      <c r="J47" s="39"/>
      <c r="K47" s="40"/>
      <c r="L47" s="40"/>
      <c r="M47" s="40"/>
      <c r="N47" s="39"/>
      <c r="O47" s="39"/>
      <c r="P47" s="41" t="str">
        <f aca="false">IF(K47="","",IF(K47&lt;=Tier1Max,"Tier 1",IF(K47&lt;=Tier2Max,"Tier 2",IF(K47&lt;=Tier3Max,"Tier 3","Tier 4"))))</f>
        <v/>
      </c>
      <c r="Q47" s="41" t="str">
        <f aca="false">IF(OR(K47="",L47=""),"",IF(L47&gt;K47,"RTO &gt; MTD","OK"))</f>
        <v/>
      </c>
      <c r="R47" s="39"/>
    </row>
    <row r="48" customFormat="false" ht="15" hidden="false" customHeight="false" outlineLevel="0" collapsed="false">
      <c r="A48" s="39"/>
      <c r="B48" s="39"/>
      <c r="C48" s="39"/>
      <c r="D48" s="39"/>
      <c r="E48" s="39"/>
      <c r="F48" s="39"/>
      <c r="G48" s="39"/>
      <c r="H48" s="39"/>
      <c r="I48" s="39"/>
      <c r="J48" s="39"/>
      <c r="K48" s="40"/>
      <c r="L48" s="40"/>
      <c r="M48" s="40"/>
      <c r="N48" s="39"/>
      <c r="O48" s="39"/>
      <c r="P48" s="41" t="str">
        <f aca="false">IF(K48="","",IF(K48&lt;=Tier1Max,"Tier 1",IF(K48&lt;=Tier2Max,"Tier 2",IF(K48&lt;=Tier3Max,"Tier 3","Tier 4"))))</f>
        <v/>
      </c>
      <c r="Q48" s="41" t="str">
        <f aca="false">IF(OR(K48="",L48=""),"",IF(L48&gt;K48,"RTO &gt; MTD","OK"))</f>
        <v/>
      </c>
      <c r="R48" s="39"/>
    </row>
    <row r="49" customFormat="false" ht="15" hidden="false" customHeight="false" outlineLevel="0" collapsed="false">
      <c r="A49" s="39"/>
      <c r="B49" s="39"/>
      <c r="C49" s="39"/>
      <c r="D49" s="39"/>
      <c r="E49" s="39"/>
      <c r="F49" s="39"/>
      <c r="G49" s="39"/>
      <c r="H49" s="39"/>
      <c r="I49" s="39"/>
      <c r="J49" s="39"/>
      <c r="K49" s="40"/>
      <c r="L49" s="40"/>
      <c r="M49" s="40"/>
      <c r="N49" s="39"/>
      <c r="O49" s="39"/>
      <c r="P49" s="41" t="str">
        <f aca="false">IF(K49="","",IF(K49&lt;=Tier1Max,"Tier 1",IF(K49&lt;=Tier2Max,"Tier 2",IF(K49&lt;=Tier3Max,"Tier 3","Tier 4"))))</f>
        <v/>
      </c>
      <c r="Q49" s="41" t="str">
        <f aca="false">IF(OR(K49="",L49=""),"",IF(L49&gt;K49,"RTO &gt; MTD","OK"))</f>
        <v/>
      </c>
      <c r="R49" s="39"/>
    </row>
    <row r="50" customFormat="false" ht="15" hidden="false" customHeight="false" outlineLevel="0" collapsed="false">
      <c r="A50" s="39"/>
      <c r="B50" s="39"/>
      <c r="C50" s="39"/>
      <c r="D50" s="39"/>
      <c r="E50" s="39"/>
      <c r="F50" s="39"/>
      <c r="G50" s="39"/>
      <c r="H50" s="39"/>
      <c r="I50" s="39"/>
      <c r="J50" s="39"/>
      <c r="K50" s="40"/>
      <c r="L50" s="40"/>
      <c r="M50" s="40"/>
      <c r="N50" s="39"/>
      <c r="O50" s="39"/>
      <c r="P50" s="41" t="str">
        <f aca="false">IF(K50="","",IF(K50&lt;=Tier1Max,"Tier 1",IF(K50&lt;=Tier2Max,"Tier 2",IF(K50&lt;=Tier3Max,"Tier 3","Tier 4"))))</f>
        <v/>
      </c>
      <c r="Q50" s="41" t="str">
        <f aca="false">IF(OR(K50="",L50=""),"",IF(L50&gt;K50,"RTO &gt; MTD","OK"))</f>
        <v/>
      </c>
      <c r="R50" s="39"/>
    </row>
    <row r="51" customFormat="false" ht="15" hidden="false" customHeight="false" outlineLevel="0" collapsed="false">
      <c r="A51" s="39"/>
      <c r="B51" s="39"/>
      <c r="C51" s="39"/>
      <c r="D51" s="39"/>
      <c r="E51" s="39"/>
      <c r="F51" s="39"/>
      <c r="G51" s="39"/>
      <c r="H51" s="39"/>
      <c r="I51" s="39"/>
      <c r="J51" s="39"/>
      <c r="K51" s="40"/>
      <c r="L51" s="40"/>
      <c r="M51" s="40"/>
      <c r="N51" s="39"/>
      <c r="O51" s="39"/>
      <c r="P51" s="41" t="str">
        <f aca="false">IF(K51="","",IF(K51&lt;=Tier1Max,"Tier 1",IF(K51&lt;=Tier2Max,"Tier 2",IF(K51&lt;=Tier3Max,"Tier 3","Tier 4"))))</f>
        <v/>
      </c>
      <c r="Q51" s="41" t="str">
        <f aca="false">IF(OR(K51="",L51=""),"",IF(L51&gt;K51,"RTO &gt; MTD","OK"))</f>
        <v/>
      </c>
      <c r="R51" s="39"/>
    </row>
    <row r="52" customFormat="false" ht="15" hidden="false" customHeight="false" outlineLevel="0" collapsed="false">
      <c r="A52" s="39"/>
      <c r="B52" s="39"/>
      <c r="C52" s="39"/>
      <c r="D52" s="39"/>
      <c r="E52" s="39"/>
      <c r="F52" s="39"/>
      <c r="G52" s="39"/>
      <c r="H52" s="39"/>
      <c r="I52" s="39"/>
      <c r="J52" s="39"/>
      <c r="K52" s="40"/>
      <c r="L52" s="40"/>
      <c r="M52" s="40"/>
      <c r="N52" s="39"/>
      <c r="O52" s="39"/>
      <c r="P52" s="41" t="str">
        <f aca="false">IF(K52="","",IF(K52&lt;=Tier1Max,"Tier 1",IF(K52&lt;=Tier2Max,"Tier 2",IF(K52&lt;=Tier3Max,"Tier 3","Tier 4"))))</f>
        <v/>
      </c>
      <c r="Q52" s="41" t="str">
        <f aca="false">IF(OR(K52="",L52=""),"",IF(L52&gt;K52,"RTO &gt; MTD","OK"))</f>
        <v/>
      </c>
      <c r="R52" s="39"/>
    </row>
    <row r="53" customFormat="false" ht="15" hidden="false" customHeight="false" outlineLevel="0" collapsed="false">
      <c r="A53" s="39"/>
      <c r="B53" s="39"/>
      <c r="C53" s="39"/>
      <c r="D53" s="39"/>
      <c r="E53" s="39"/>
      <c r="F53" s="39"/>
      <c r="G53" s="39"/>
      <c r="H53" s="39"/>
      <c r="I53" s="39"/>
      <c r="J53" s="39"/>
      <c r="K53" s="40"/>
      <c r="L53" s="40"/>
      <c r="M53" s="40"/>
      <c r="N53" s="39"/>
      <c r="O53" s="39"/>
      <c r="P53" s="41" t="str">
        <f aca="false">IF(K53="","",IF(K53&lt;=Tier1Max,"Tier 1",IF(K53&lt;=Tier2Max,"Tier 2",IF(K53&lt;=Tier3Max,"Tier 3","Tier 4"))))</f>
        <v/>
      </c>
      <c r="Q53" s="41" t="str">
        <f aca="false">IF(OR(K53="",L53=""),"",IF(L53&gt;K53,"RTO &gt; MTD","OK"))</f>
        <v/>
      </c>
      <c r="R53" s="39"/>
    </row>
    <row r="54" customFormat="false" ht="15" hidden="false" customHeight="false" outlineLevel="0" collapsed="false">
      <c r="A54" s="39"/>
      <c r="B54" s="39"/>
      <c r="C54" s="39"/>
      <c r="D54" s="39"/>
      <c r="E54" s="39"/>
      <c r="F54" s="39"/>
      <c r="G54" s="39"/>
      <c r="H54" s="39"/>
      <c r="I54" s="39"/>
      <c r="J54" s="39"/>
      <c r="K54" s="40"/>
      <c r="L54" s="40"/>
      <c r="M54" s="40"/>
      <c r="N54" s="39"/>
      <c r="O54" s="39"/>
      <c r="P54" s="41" t="str">
        <f aca="false">IF(K54="","",IF(K54&lt;=Tier1Max,"Tier 1",IF(K54&lt;=Tier2Max,"Tier 2",IF(K54&lt;=Tier3Max,"Tier 3","Tier 4"))))</f>
        <v/>
      </c>
      <c r="Q54" s="41" t="str">
        <f aca="false">IF(OR(K54="",L54=""),"",IF(L54&gt;K54,"RTO &gt; MTD","OK"))</f>
        <v/>
      </c>
      <c r="R54" s="39"/>
    </row>
    <row r="55" customFormat="false" ht="15" hidden="false" customHeight="false" outlineLevel="0" collapsed="false">
      <c r="A55" s="39"/>
      <c r="B55" s="39"/>
      <c r="C55" s="39"/>
      <c r="D55" s="39"/>
      <c r="E55" s="39"/>
      <c r="F55" s="39"/>
      <c r="G55" s="39"/>
      <c r="H55" s="39"/>
      <c r="I55" s="39"/>
      <c r="J55" s="39"/>
      <c r="K55" s="40"/>
      <c r="L55" s="40"/>
      <c r="M55" s="40"/>
      <c r="N55" s="39"/>
      <c r="O55" s="39"/>
      <c r="P55" s="41" t="str">
        <f aca="false">IF(K55="","",IF(K55&lt;=Tier1Max,"Tier 1",IF(K55&lt;=Tier2Max,"Tier 2",IF(K55&lt;=Tier3Max,"Tier 3","Tier 4"))))</f>
        <v/>
      </c>
      <c r="Q55" s="41" t="str">
        <f aca="false">IF(OR(K55="",L55=""),"",IF(L55&gt;K55,"RTO &gt; MTD","OK"))</f>
        <v/>
      </c>
      <c r="R55" s="39"/>
    </row>
    <row r="56" customFormat="false" ht="15" hidden="false" customHeight="false" outlineLevel="0" collapsed="false">
      <c r="A56" s="39"/>
      <c r="B56" s="39"/>
      <c r="C56" s="39"/>
      <c r="D56" s="39"/>
      <c r="E56" s="39"/>
      <c r="F56" s="39"/>
      <c r="G56" s="39"/>
      <c r="H56" s="39"/>
      <c r="I56" s="39"/>
      <c r="J56" s="39"/>
      <c r="K56" s="40"/>
      <c r="L56" s="40"/>
      <c r="M56" s="40"/>
      <c r="N56" s="39"/>
      <c r="O56" s="39"/>
      <c r="P56" s="41" t="str">
        <f aca="false">IF(K56="","",IF(K56&lt;=Tier1Max,"Tier 1",IF(K56&lt;=Tier2Max,"Tier 2",IF(K56&lt;=Tier3Max,"Tier 3","Tier 4"))))</f>
        <v/>
      </c>
      <c r="Q56" s="41" t="str">
        <f aca="false">IF(OR(K56="",L56=""),"",IF(L56&gt;K56,"RTO &gt; MTD","OK"))</f>
        <v/>
      </c>
      <c r="R56" s="39"/>
    </row>
    <row r="57" customFormat="false" ht="15" hidden="false" customHeight="false" outlineLevel="0" collapsed="false">
      <c r="A57" s="39"/>
      <c r="B57" s="39"/>
      <c r="C57" s="39"/>
      <c r="D57" s="39"/>
      <c r="E57" s="39"/>
      <c r="F57" s="39"/>
      <c r="G57" s="39"/>
      <c r="H57" s="39"/>
      <c r="I57" s="39"/>
      <c r="J57" s="39"/>
      <c r="K57" s="40"/>
      <c r="L57" s="40"/>
      <c r="M57" s="40"/>
      <c r="N57" s="39"/>
      <c r="O57" s="39"/>
      <c r="P57" s="41" t="str">
        <f aca="false">IF(K57="","",IF(K57&lt;=Tier1Max,"Tier 1",IF(K57&lt;=Tier2Max,"Tier 2",IF(K57&lt;=Tier3Max,"Tier 3","Tier 4"))))</f>
        <v/>
      </c>
      <c r="Q57" s="41" t="str">
        <f aca="false">IF(OR(K57="",L57=""),"",IF(L57&gt;K57,"RTO &gt; MTD","OK"))</f>
        <v/>
      </c>
      <c r="R57" s="39"/>
    </row>
    <row r="58" customFormat="false" ht="15" hidden="false" customHeight="false" outlineLevel="0" collapsed="false">
      <c r="A58" s="39"/>
      <c r="B58" s="39"/>
      <c r="C58" s="39"/>
      <c r="D58" s="39"/>
      <c r="E58" s="39"/>
      <c r="F58" s="39"/>
      <c r="G58" s="39"/>
      <c r="H58" s="39"/>
      <c r="I58" s="39"/>
      <c r="J58" s="39"/>
      <c r="K58" s="40"/>
      <c r="L58" s="40"/>
      <c r="M58" s="40"/>
      <c r="N58" s="39"/>
      <c r="O58" s="39"/>
      <c r="P58" s="41" t="str">
        <f aca="false">IF(K58="","",IF(K58&lt;=Tier1Max,"Tier 1",IF(K58&lt;=Tier2Max,"Tier 2",IF(K58&lt;=Tier3Max,"Tier 3","Tier 4"))))</f>
        <v/>
      </c>
      <c r="Q58" s="41" t="str">
        <f aca="false">IF(OR(K58="",L58=""),"",IF(L58&gt;K58,"RTO &gt; MTD","OK"))</f>
        <v/>
      </c>
      <c r="R58" s="39"/>
    </row>
    <row r="59" customFormat="false" ht="15" hidden="false" customHeight="false" outlineLevel="0" collapsed="false">
      <c r="A59" s="39"/>
      <c r="B59" s="39"/>
      <c r="C59" s="39"/>
      <c r="D59" s="39"/>
      <c r="E59" s="39"/>
      <c r="F59" s="39"/>
      <c r="G59" s="39"/>
      <c r="H59" s="39"/>
      <c r="I59" s="39"/>
      <c r="J59" s="39"/>
      <c r="K59" s="40"/>
      <c r="L59" s="40"/>
      <c r="M59" s="40"/>
      <c r="N59" s="39"/>
      <c r="O59" s="39"/>
      <c r="P59" s="41" t="str">
        <f aca="false">IF(K59="","",IF(K59&lt;=Tier1Max,"Tier 1",IF(K59&lt;=Tier2Max,"Tier 2",IF(K59&lt;=Tier3Max,"Tier 3","Tier 4"))))</f>
        <v/>
      </c>
      <c r="Q59" s="41" t="str">
        <f aca="false">IF(OR(K59="",L59=""),"",IF(L59&gt;K59,"RTO &gt; MTD","OK"))</f>
        <v/>
      </c>
      <c r="R59" s="39"/>
    </row>
    <row r="60" customFormat="false" ht="15" hidden="false" customHeight="false" outlineLevel="0" collapsed="false">
      <c r="A60" s="39"/>
      <c r="B60" s="39"/>
      <c r="C60" s="39"/>
      <c r="D60" s="39"/>
      <c r="E60" s="39"/>
      <c r="F60" s="39"/>
      <c r="G60" s="39"/>
      <c r="H60" s="39"/>
      <c r="I60" s="39"/>
      <c r="J60" s="39"/>
      <c r="K60" s="40"/>
      <c r="L60" s="40"/>
      <c r="M60" s="40"/>
      <c r="N60" s="39"/>
      <c r="O60" s="39"/>
      <c r="P60" s="41" t="str">
        <f aca="false">IF(K60="","",IF(K60&lt;=Tier1Max,"Tier 1",IF(K60&lt;=Tier2Max,"Tier 2",IF(K60&lt;=Tier3Max,"Tier 3","Tier 4"))))</f>
        <v/>
      </c>
      <c r="Q60" s="41" t="str">
        <f aca="false">IF(OR(K60="",L60=""),"",IF(L60&gt;K60,"RTO &gt; MTD","OK"))</f>
        <v/>
      </c>
      <c r="R60" s="39"/>
    </row>
    <row r="61" customFormat="false" ht="15" hidden="false" customHeight="false" outlineLevel="0" collapsed="false">
      <c r="A61" s="39"/>
      <c r="B61" s="39"/>
      <c r="C61" s="39"/>
      <c r="D61" s="39"/>
      <c r="E61" s="39"/>
      <c r="F61" s="39"/>
      <c r="G61" s="39"/>
      <c r="H61" s="39"/>
      <c r="I61" s="39"/>
      <c r="J61" s="39"/>
      <c r="K61" s="40"/>
      <c r="L61" s="40"/>
      <c r="M61" s="40"/>
      <c r="N61" s="39"/>
      <c r="O61" s="39"/>
      <c r="P61" s="41" t="str">
        <f aca="false">IF(K61="","",IF(K61&lt;=Tier1Max,"Tier 1",IF(K61&lt;=Tier2Max,"Tier 2",IF(K61&lt;=Tier3Max,"Tier 3","Tier 4"))))</f>
        <v/>
      </c>
      <c r="Q61" s="41" t="str">
        <f aca="false">IF(OR(K61="",L61=""),"",IF(L61&gt;K61,"RTO &gt; MTD","OK"))</f>
        <v/>
      </c>
      <c r="R61" s="39"/>
    </row>
    <row r="62" customFormat="false" ht="15" hidden="false" customHeight="false" outlineLevel="0" collapsed="false">
      <c r="A62" s="39"/>
      <c r="B62" s="39"/>
      <c r="C62" s="39"/>
      <c r="D62" s="39"/>
      <c r="E62" s="39"/>
      <c r="F62" s="39"/>
      <c r="G62" s="39"/>
      <c r="H62" s="39"/>
      <c r="I62" s="39"/>
      <c r="J62" s="39"/>
      <c r="K62" s="40"/>
      <c r="L62" s="40"/>
      <c r="M62" s="40"/>
      <c r="N62" s="39"/>
      <c r="O62" s="39"/>
      <c r="P62" s="41" t="str">
        <f aca="false">IF(K62="","",IF(K62&lt;=Tier1Max,"Tier 1",IF(K62&lt;=Tier2Max,"Tier 2",IF(K62&lt;=Tier3Max,"Tier 3","Tier 4"))))</f>
        <v/>
      </c>
      <c r="Q62" s="41" t="str">
        <f aca="false">IF(OR(K62="",L62=""),"",IF(L62&gt;K62,"RTO &gt; MTD","OK"))</f>
        <v/>
      </c>
      <c r="R62" s="39"/>
    </row>
    <row r="63" customFormat="false" ht="15" hidden="false" customHeight="false" outlineLevel="0" collapsed="false">
      <c r="A63" s="39"/>
      <c r="B63" s="39"/>
      <c r="C63" s="39"/>
      <c r="D63" s="39"/>
      <c r="E63" s="39"/>
      <c r="F63" s="39"/>
      <c r="G63" s="39"/>
      <c r="H63" s="39"/>
      <c r="I63" s="39"/>
      <c r="J63" s="39"/>
      <c r="K63" s="40"/>
      <c r="L63" s="40"/>
      <c r="M63" s="40"/>
      <c r="N63" s="39"/>
      <c r="O63" s="39"/>
      <c r="P63" s="41" t="str">
        <f aca="false">IF(K63="","",IF(K63&lt;=Tier1Max,"Tier 1",IF(K63&lt;=Tier2Max,"Tier 2",IF(K63&lt;=Tier3Max,"Tier 3","Tier 4"))))</f>
        <v/>
      </c>
      <c r="Q63" s="41" t="str">
        <f aca="false">IF(OR(K63="",L63=""),"",IF(L63&gt;K63,"RTO &gt; MTD","OK"))</f>
        <v/>
      </c>
      <c r="R63" s="39"/>
    </row>
    <row r="64" customFormat="false" ht="15" hidden="false" customHeight="false" outlineLevel="0" collapsed="false">
      <c r="A64" s="39"/>
      <c r="B64" s="39"/>
      <c r="C64" s="39"/>
      <c r="D64" s="39"/>
      <c r="E64" s="39"/>
      <c r="F64" s="39"/>
      <c r="G64" s="39"/>
      <c r="H64" s="39"/>
      <c r="I64" s="39"/>
      <c r="J64" s="39"/>
      <c r="K64" s="40"/>
      <c r="L64" s="40"/>
      <c r="M64" s="40"/>
      <c r="N64" s="39"/>
      <c r="O64" s="39"/>
      <c r="P64" s="41" t="str">
        <f aca="false">IF(K64="","",IF(K64&lt;=Tier1Max,"Tier 1",IF(K64&lt;=Tier2Max,"Tier 2",IF(K64&lt;=Tier3Max,"Tier 3","Tier 4"))))</f>
        <v/>
      </c>
      <c r="Q64" s="41" t="str">
        <f aca="false">IF(OR(K64="",L64=""),"",IF(L64&gt;K64,"RTO &gt; MTD","OK"))</f>
        <v/>
      </c>
      <c r="R64" s="39"/>
    </row>
    <row r="65" customFormat="false" ht="15" hidden="false" customHeight="false" outlineLevel="0" collapsed="false">
      <c r="A65" s="39"/>
      <c r="B65" s="39"/>
      <c r="C65" s="39"/>
      <c r="D65" s="39"/>
      <c r="E65" s="39"/>
      <c r="F65" s="39"/>
      <c r="G65" s="39"/>
      <c r="H65" s="39"/>
      <c r="I65" s="39"/>
      <c r="J65" s="39"/>
      <c r="K65" s="40"/>
      <c r="L65" s="40"/>
      <c r="M65" s="40"/>
      <c r="N65" s="39"/>
      <c r="O65" s="39"/>
      <c r="P65" s="41" t="str">
        <f aca="false">IF(K65="","",IF(K65&lt;=Tier1Max,"Tier 1",IF(K65&lt;=Tier2Max,"Tier 2",IF(K65&lt;=Tier3Max,"Tier 3","Tier 4"))))</f>
        <v/>
      </c>
      <c r="Q65" s="41" t="str">
        <f aca="false">IF(OR(K65="",L65=""),"",IF(L65&gt;K65,"RTO &gt; MTD","OK"))</f>
        <v/>
      </c>
      <c r="R65" s="39"/>
    </row>
    <row r="66" customFormat="false" ht="15" hidden="false" customHeight="false" outlineLevel="0" collapsed="false">
      <c r="A66" s="39"/>
      <c r="B66" s="39"/>
      <c r="C66" s="39"/>
      <c r="D66" s="39"/>
      <c r="E66" s="39"/>
      <c r="F66" s="39"/>
      <c r="G66" s="39"/>
      <c r="H66" s="39"/>
      <c r="I66" s="39"/>
      <c r="J66" s="39"/>
      <c r="K66" s="40"/>
      <c r="L66" s="40"/>
      <c r="M66" s="40"/>
      <c r="N66" s="39"/>
      <c r="O66" s="39"/>
      <c r="P66" s="41" t="str">
        <f aca="false">IF(K66="","",IF(K66&lt;=Tier1Max,"Tier 1",IF(K66&lt;=Tier2Max,"Tier 2",IF(K66&lt;=Tier3Max,"Tier 3","Tier 4"))))</f>
        <v/>
      </c>
      <c r="Q66" s="41" t="str">
        <f aca="false">IF(OR(K66="",L66=""),"",IF(L66&gt;K66,"RTO &gt; MTD","OK"))</f>
        <v/>
      </c>
      <c r="R66" s="39"/>
    </row>
    <row r="67" customFormat="false" ht="15" hidden="false" customHeight="false" outlineLevel="0" collapsed="false">
      <c r="A67" s="39"/>
      <c r="B67" s="39"/>
      <c r="C67" s="39"/>
      <c r="D67" s="39"/>
      <c r="E67" s="39"/>
      <c r="F67" s="39"/>
      <c r="G67" s="39"/>
      <c r="H67" s="39"/>
      <c r="I67" s="39"/>
      <c r="J67" s="39"/>
      <c r="K67" s="40"/>
      <c r="L67" s="40"/>
      <c r="M67" s="40"/>
      <c r="N67" s="39"/>
      <c r="O67" s="39"/>
      <c r="P67" s="41" t="str">
        <f aca="false">IF(K67="","",IF(K67&lt;=Tier1Max,"Tier 1",IF(K67&lt;=Tier2Max,"Tier 2",IF(K67&lt;=Tier3Max,"Tier 3","Tier 4"))))</f>
        <v/>
      </c>
      <c r="Q67" s="41" t="str">
        <f aca="false">IF(OR(K67="",L67=""),"",IF(L67&gt;K67,"RTO &gt; MTD","OK"))</f>
        <v/>
      </c>
      <c r="R67" s="39"/>
    </row>
    <row r="68" customFormat="false" ht="15" hidden="false" customHeight="false" outlineLevel="0" collapsed="false">
      <c r="A68" s="39"/>
      <c r="B68" s="39"/>
      <c r="C68" s="39"/>
      <c r="D68" s="39"/>
      <c r="E68" s="39"/>
      <c r="F68" s="39"/>
      <c r="G68" s="39"/>
      <c r="H68" s="39"/>
      <c r="I68" s="39"/>
      <c r="J68" s="39"/>
      <c r="K68" s="40"/>
      <c r="L68" s="40"/>
      <c r="M68" s="40"/>
      <c r="N68" s="39"/>
      <c r="O68" s="39"/>
      <c r="P68" s="41" t="str">
        <f aca="false">IF(K68="","",IF(K68&lt;=Tier1Max,"Tier 1",IF(K68&lt;=Tier2Max,"Tier 2",IF(K68&lt;=Tier3Max,"Tier 3","Tier 4"))))</f>
        <v/>
      </c>
      <c r="Q68" s="41" t="str">
        <f aca="false">IF(OR(K68="",L68=""),"",IF(L68&gt;K68,"RTO &gt; MTD","OK"))</f>
        <v/>
      </c>
      <c r="R68" s="39"/>
    </row>
    <row r="69" customFormat="false" ht="15" hidden="false" customHeight="false" outlineLevel="0" collapsed="false">
      <c r="A69" s="39"/>
      <c r="B69" s="39"/>
      <c r="C69" s="39"/>
      <c r="D69" s="39"/>
      <c r="E69" s="39"/>
      <c r="F69" s="39"/>
      <c r="G69" s="39"/>
      <c r="H69" s="39"/>
      <c r="I69" s="39"/>
      <c r="J69" s="39"/>
      <c r="K69" s="40"/>
      <c r="L69" s="40"/>
      <c r="M69" s="40"/>
      <c r="N69" s="39"/>
      <c r="O69" s="39"/>
      <c r="P69" s="41" t="str">
        <f aca="false">IF(K69="","",IF(K69&lt;=Tier1Max,"Tier 1",IF(K69&lt;=Tier2Max,"Tier 2",IF(K69&lt;=Tier3Max,"Tier 3","Tier 4"))))</f>
        <v/>
      </c>
      <c r="Q69" s="41" t="str">
        <f aca="false">IF(OR(K69="",L69=""),"",IF(L69&gt;K69,"RTO &gt; MTD","OK"))</f>
        <v/>
      </c>
      <c r="R69" s="39"/>
    </row>
    <row r="70" customFormat="false" ht="15" hidden="false" customHeight="false" outlineLevel="0" collapsed="false">
      <c r="A70" s="39"/>
      <c r="B70" s="39"/>
      <c r="C70" s="39"/>
      <c r="D70" s="39"/>
      <c r="E70" s="39"/>
      <c r="F70" s="39"/>
      <c r="G70" s="39"/>
      <c r="H70" s="39"/>
      <c r="I70" s="39"/>
      <c r="J70" s="39"/>
      <c r="K70" s="40"/>
      <c r="L70" s="40"/>
      <c r="M70" s="40"/>
      <c r="N70" s="39"/>
      <c r="O70" s="39"/>
      <c r="P70" s="41" t="str">
        <f aca="false">IF(K70="","",IF(K70&lt;=Tier1Max,"Tier 1",IF(K70&lt;=Tier2Max,"Tier 2",IF(K70&lt;=Tier3Max,"Tier 3","Tier 4"))))</f>
        <v/>
      </c>
      <c r="Q70" s="41" t="str">
        <f aca="false">IF(OR(K70="",L70=""),"",IF(L70&gt;K70,"RTO &gt; MTD","OK"))</f>
        <v/>
      </c>
      <c r="R70" s="39"/>
    </row>
    <row r="71" customFormat="false" ht="15" hidden="false" customHeight="false" outlineLevel="0" collapsed="false">
      <c r="A71" s="39"/>
      <c r="B71" s="39"/>
      <c r="C71" s="39"/>
      <c r="D71" s="39"/>
      <c r="E71" s="39"/>
      <c r="F71" s="39"/>
      <c r="G71" s="39"/>
      <c r="H71" s="39"/>
      <c r="I71" s="39"/>
      <c r="J71" s="39"/>
      <c r="K71" s="40"/>
      <c r="L71" s="40"/>
      <c r="M71" s="40"/>
      <c r="N71" s="39"/>
      <c r="O71" s="39"/>
      <c r="P71" s="41" t="str">
        <f aca="false">IF(K71="","",IF(K71&lt;=Tier1Max,"Tier 1",IF(K71&lt;=Tier2Max,"Tier 2",IF(K71&lt;=Tier3Max,"Tier 3","Tier 4"))))</f>
        <v/>
      </c>
      <c r="Q71" s="41" t="str">
        <f aca="false">IF(OR(K71="",L71=""),"",IF(L71&gt;K71,"RTO &gt; MTD","OK"))</f>
        <v/>
      </c>
      <c r="R71" s="39"/>
    </row>
    <row r="72" customFormat="false" ht="15" hidden="false" customHeight="false" outlineLevel="0" collapsed="false">
      <c r="A72" s="39"/>
      <c r="B72" s="39"/>
      <c r="C72" s="39"/>
      <c r="D72" s="39"/>
      <c r="E72" s="39"/>
      <c r="F72" s="39"/>
      <c r="G72" s="39"/>
      <c r="H72" s="39"/>
      <c r="I72" s="39"/>
      <c r="J72" s="39"/>
      <c r="K72" s="40"/>
      <c r="L72" s="40"/>
      <c r="M72" s="40"/>
      <c r="N72" s="39"/>
      <c r="O72" s="39"/>
      <c r="P72" s="41" t="str">
        <f aca="false">IF(K72="","",IF(K72&lt;=Tier1Max,"Tier 1",IF(K72&lt;=Tier2Max,"Tier 2",IF(K72&lt;=Tier3Max,"Tier 3","Tier 4"))))</f>
        <v/>
      </c>
      <c r="Q72" s="41" t="str">
        <f aca="false">IF(OR(K72="",L72=""),"",IF(L72&gt;K72,"RTO &gt; MTD","OK"))</f>
        <v/>
      </c>
      <c r="R72" s="39"/>
    </row>
    <row r="73" customFormat="false" ht="15" hidden="false" customHeight="false" outlineLevel="0" collapsed="false">
      <c r="A73" s="39"/>
      <c r="B73" s="39"/>
      <c r="C73" s="39"/>
      <c r="D73" s="39"/>
      <c r="E73" s="39"/>
      <c r="F73" s="39"/>
      <c r="G73" s="39"/>
      <c r="H73" s="39"/>
      <c r="I73" s="39"/>
      <c r="J73" s="39"/>
      <c r="K73" s="40"/>
      <c r="L73" s="40"/>
      <c r="M73" s="40"/>
      <c r="N73" s="39"/>
      <c r="O73" s="39"/>
      <c r="P73" s="41" t="str">
        <f aca="false">IF(K73="","",IF(K73&lt;=Tier1Max,"Tier 1",IF(K73&lt;=Tier2Max,"Tier 2",IF(K73&lt;=Tier3Max,"Tier 3","Tier 4"))))</f>
        <v/>
      </c>
      <c r="Q73" s="41" t="str">
        <f aca="false">IF(OR(K73="",L73=""),"",IF(L73&gt;K73,"RTO &gt; MTD","OK"))</f>
        <v/>
      </c>
      <c r="R73" s="39"/>
    </row>
    <row r="74" customFormat="false" ht="15" hidden="false" customHeight="false" outlineLevel="0" collapsed="false">
      <c r="A74" s="39"/>
      <c r="B74" s="39"/>
      <c r="C74" s="39"/>
      <c r="D74" s="39"/>
      <c r="E74" s="39"/>
      <c r="F74" s="39"/>
      <c r="G74" s="39"/>
      <c r="H74" s="39"/>
      <c r="I74" s="39"/>
      <c r="J74" s="39"/>
      <c r="K74" s="40"/>
      <c r="L74" s="40"/>
      <c r="M74" s="40"/>
      <c r="N74" s="39"/>
      <c r="O74" s="39"/>
      <c r="P74" s="41" t="str">
        <f aca="false">IF(K74="","",IF(K74&lt;=Tier1Max,"Tier 1",IF(K74&lt;=Tier2Max,"Tier 2",IF(K74&lt;=Tier3Max,"Tier 3","Tier 4"))))</f>
        <v/>
      </c>
      <c r="Q74" s="41" t="str">
        <f aca="false">IF(OR(K74="",L74=""),"",IF(L74&gt;K74,"RTO &gt; MTD","OK"))</f>
        <v/>
      </c>
      <c r="R74" s="39"/>
    </row>
    <row r="75" customFormat="false" ht="15" hidden="false" customHeight="false" outlineLevel="0" collapsed="false">
      <c r="A75" s="39"/>
      <c r="B75" s="39"/>
      <c r="C75" s="39"/>
      <c r="D75" s="39"/>
      <c r="E75" s="39"/>
      <c r="F75" s="39"/>
      <c r="G75" s="39"/>
      <c r="H75" s="39"/>
      <c r="I75" s="39"/>
      <c r="J75" s="39"/>
      <c r="K75" s="40"/>
      <c r="L75" s="40"/>
      <c r="M75" s="40"/>
      <c r="N75" s="39"/>
      <c r="O75" s="39"/>
      <c r="P75" s="41" t="str">
        <f aca="false">IF(K75="","",IF(K75&lt;=Tier1Max,"Tier 1",IF(K75&lt;=Tier2Max,"Tier 2",IF(K75&lt;=Tier3Max,"Tier 3","Tier 4"))))</f>
        <v/>
      </c>
      <c r="Q75" s="41" t="str">
        <f aca="false">IF(OR(K75="",L75=""),"",IF(L75&gt;K75,"RTO &gt; MTD","OK"))</f>
        <v/>
      </c>
      <c r="R75" s="39"/>
    </row>
    <row r="76" customFormat="false" ht="15" hidden="false" customHeight="false" outlineLevel="0" collapsed="false">
      <c r="A76" s="39"/>
      <c r="B76" s="39"/>
      <c r="C76" s="39"/>
      <c r="D76" s="39"/>
      <c r="E76" s="39"/>
      <c r="F76" s="39"/>
      <c r="G76" s="39"/>
      <c r="H76" s="39"/>
      <c r="I76" s="39"/>
      <c r="J76" s="39"/>
      <c r="K76" s="40"/>
      <c r="L76" s="40"/>
      <c r="M76" s="40"/>
      <c r="N76" s="39"/>
      <c r="O76" s="39"/>
      <c r="P76" s="41" t="str">
        <f aca="false">IF(K76="","",IF(K76&lt;=Tier1Max,"Tier 1",IF(K76&lt;=Tier2Max,"Tier 2",IF(K76&lt;=Tier3Max,"Tier 3","Tier 4"))))</f>
        <v/>
      </c>
      <c r="Q76" s="41" t="str">
        <f aca="false">IF(OR(K76="",L76=""),"",IF(L76&gt;K76,"RTO &gt; MTD","OK"))</f>
        <v/>
      </c>
      <c r="R76" s="39"/>
    </row>
    <row r="77" customFormat="false" ht="15" hidden="false" customHeight="false" outlineLevel="0" collapsed="false">
      <c r="A77" s="39"/>
      <c r="B77" s="39"/>
      <c r="C77" s="39"/>
      <c r="D77" s="39"/>
      <c r="E77" s="39"/>
      <c r="F77" s="39"/>
      <c r="G77" s="39"/>
      <c r="H77" s="39"/>
      <c r="I77" s="39"/>
      <c r="J77" s="39"/>
      <c r="K77" s="40"/>
      <c r="L77" s="40"/>
      <c r="M77" s="40"/>
      <c r="N77" s="39"/>
      <c r="O77" s="39"/>
      <c r="P77" s="41" t="str">
        <f aca="false">IF(K77="","",IF(K77&lt;=Tier1Max,"Tier 1",IF(K77&lt;=Tier2Max,"Tier 2",IF(K77&lt;=Tier3Max,"Tier 3","Tier 4"))))</f>
        <v/>
      </c>
      <c r="Q77" s="41" t="str">
        <f aca="false">IF(OR(K77="",L77=""),"",IF(L77&gt;K77,"RTO &gt; MTD","OK"))</f>
        <v/>
      </c>
      <c r="R77" s="39"/>
    </row>
    <row r="78" customFormat="false" ht="15" hidden="false" customHeight="false" outlineLevel="0" collapsed="false">
      <c r="A78" s="39"/>
      <c r="B78" s="39"/>
      <c r="C78" s="39"/>
      <c r="D78" s="39"/>
      <c r="E78" s="39"/>
      <c r="F78" s="39"/>
      <c r="G78" s="39"/>
      <c r="H78" s="39"/>
      <c r="I78" s="39"/>
      <c r="J78" s="39"/>
      <c r="K78" s="40"/>
      <c r="L78" s="40"/>
      <c r="M78" s="40"/>
      <c r="N78" s="39"/>
      <c r="O78" s="39"/>
      <c r="P78" s="41" t="str">
        <f aca="false">IF(K78="","",IF(K78&lt;=Tier1Max,"Tier 1",IF(K78&lt;=Tier2Max,"Tier 2",IF(K78&lt;=Tier3Max,"Tier 3","Tier 4"))))</f>
        <v/>
      </c>
      <c r="Q78" s="41" t="str">
        <f aca="false">IF(OR(K78="",L78=""),"",IF(L78&gt;K78,"RTO &gt; MTD","OK"))</f>
        <v/>
      </c>
      <c r="R78" s="39"/>
    </row>
    <row r="79" customFormat="false" ht="15" hidden="false" customHeight="false" outlineLevel="0" collapsed="false">
      <c r="A79" s="39"/>
      <c r="B79" s="39"/>
      <c r="C79" s="39"/>
      <c r="D79" s="39"/>
      <c r="E79" s="39"/>
      <c r="F79" s="39"/>
      <c r="G79" s="39"/>
      <c r="H79" s="39"/>
      <c r="I79" s="39"/>
      <c r="J79" s="39"/>
      <c r="K79" s="40"/>
      <c r="L79" s="40"/>
      <c r="M79" s="40"/>
      <c r="N79" s="39"/>
      <c r="O79" s="39"/>
      <c r="P79" s="41" t="str">
        <f aca="false">IF(K79="","",IF(K79&lt;=Tier1Max,"Tier 1",IF(K79&lt;=Tier2Max,"Tier 2",IF(K79&lt;=Tier3Max,"Tier 3","Tier 4"))))</f>
        <v/>
      </c>
      <c r="Q79" s="41" t="str">
        <f aca="false">IF(OR(K79="",L79=""),"",IF(L79&gt;K79,"RTO &gt; MTD","OK"))</f>
        <v/>
      </c>
      <c r="R79" s="39"/>
    </row>
    <row r="80" customFormat="false" ht="15" hidden="false" customHeight="false" outlineLevel="0" collapsed="false">
      <c r="A80" s="39"/>
      <c r="B80" s="39"/>
      <c r="C80" s="39"/>
      <c r="D80" s="39"/>
      <c r="E80" s="39"/>
      <c r="F80" s="39"/>
      <c r="G80" s="39"/>
      <c r="H80" s="39"/>
      <c r="I80" s="39"/>
      <c r="J80" s="39"/>
      <c r="K80" s="40"/>
      <c r="L80" s="40"/>
      <c r="M80" s="40"/>
      <c r="N80" s="39"/>
      <c r="O80" s="39"/>
      <c r="P80" s="41" t="str">
        <f aca="false">IF(K80="","",IF(K80&lt;=Tier1Max,"Tier 1",IF(K80&lt;=Tier2Max,"Tier 2",IF(K80&lt;=Tier3Max,"Tier 3","Tier 4"))))</f>
        <v/>
      </c>
      <c r="Q80" s="41" t="str">
        <f aca="false">IF(OR(K80="",L80=""),"",IF(L80&gt;K80,"RTO &gt; MTD","OK"))</f>
        <v/>
      </c>
      <c r="R80" s="39"/>
    </row>
    <row r="81" customFormat="false" ht="15" hidden="false" customHeight="false" outlineLevel="0" collapsed="false">
      <c r="A81" s="39"/>
      <c r="B81" s="39"/>
      <c r="C81" s="39"/>
      <c r="D81" s="39"/>
      <c r="E81" s="39"/>
      <c r="F81" s="39"/>
      <c r="G81" s="39"/>
      <c r="H81" s="39"/>
      <c r="I81" s="39"/>
      <c r="J81" s="39"/>
      <c r="K81" s="40"/>
      <c r="L81" s="40"/>
      <c r="M81" s="40"/>
      <c r="N81" s="39"/>
      <c r="O81" s="39"/>
      <c r="P81" s="41" t="str">
        <f aca="false">IF(K81="","",IF(K81&lt;=Tier1Max,"Tier 1",IF(K81&lt;=Tier2Max,"Tier 2",IF(K81&lt;=Tier3Max,"Tier 3","Tier 4"))))</f>
        <v/>
      </c>
      <c r="Q81" s="41" t="str">
        <f aca="false">IF(OR(K81="",L81=""),"",IF(L81&gt;K81,"RTO &gt; MTD","OK"))</f>
        <v/>
      </c>
      <c r="R81" s="39"/>
    </row>
    <row r="82" customFormat="false" ht="15" hidden="false" customHeight="false" outlineLevel="0" collapsed="false">
      <c r="A82" s="39"/>
      <c r="B82" s="39"/>
      <c r="C82" s="39"/>
      <c r="D82" s="39"/>
      <c r="E82" s="39"/>
      <c r="F82" s="39"/>
      <c r="G82" s="39"/>
      <c r="H82" s="39"/>
      <c r="I82" s="39"/>
      <c r="J82" s="39"/>
      <c r="K82" s="40"/>
      <c r="L82" s="40"/>
      <c r="M82" s="40"/>
      <c r="N82" s="39"/>
      <c r="O82" s="39"/>
      <c r="P82" s="41" t="str">
        <f aca="false">IF(K82="","",IF(K82&lt;=Tier1Max,"Tier 1",IF(K82&lt;=Tier2Max,"Tier 2",IF(K82&lt;=Tier3Max,"Tier 3","Tier 4"))))</f>
        <v/>
      </c>
      <c r="Q82" s="41" t="str">
        <f aca="false">IF(OR(K82="",L82=""),"",IF(L82&gt;K82,"RTO &gt; MTD","OK"))</f>
        <v/>
      </c>
      <c r="R82" s="39"/>
    </row>
    <row r="83" customFormat="false" ht="15" hidden="false" customHeight="false" outlineLevel="0" collapsed="false">
      <c r="A83" s="39"/>
      <c r="B83" s="39"/>
      <c r="C83" s="39"/>
      <c r="D83" s="39"/>
      <c r="E83" s="39"/>
      <c r="F83" s="39"/>
      <c r="G83" s="39"/>
      <c r="H83" s="39"/>
      <c r="I83" s="39"/>
      <c r="J83" s="39"/>
      <c r="K83" s="40"/>
      <c r="L83" s="40"/>
      <c r="M83" s="40"/>
      <c r="N83" s="39"/>
      <c r="O83" s="39"/>
      <c r="P83" s="41" t="str">
        <f aca="false">IF(K83="","",IF(K83&lt;=Tier1Max,"Tier 1",IF(K83&lt;=Tier2Max,"Tier 2",IF(K83&lt;=Tier3Max,"Tier 3","Tier 4"))))</f>
        <v/>
      </c>
      <c r="Q83" s="41" t="str">
        <f aca="false">IF(OR(K83="",L83=""),"",IF(L83&gt;K83,"RTO &gt; MTD","OK"))</f>
        <v/>
      </c>
      <c r="R83" s="39"/>
    </row>
    <row r="84" customFormat="false" ht="15" hidden="false" customHeight="false" outlineLevel="0" collapsed="false">
      <c r="A84" s="39"/>
      <c r="B84" s="39"/>
      <c r="C84" s="39"/>
      <c r="D84" s="39"/>
      <c r="E84" s="39"/>
      <c r="F84" s="39"/>
      <c r="G84" s="39"/>
      <c r="H84" s="39"/>
      <c r="I84" s="39"/>
      <c r="J84" s="39"/>
      <c r="K84" s="40"/>
      <c r="L84" s="40"/>
      <c r="M84" s="40"/>
      <c r="N84" s="39"/>
      <c r="O84" s="39"/>
      <c r="P84" s="41" t="str">
        <f aca="false">IF(K84="","",IF(K84&lt;=Tier1Max,"Tier 1",IF(K84&lt;=Tier2Max,"Tier 2",IF(K84&lt;=Tier3Max,"Tier 3","Tier 4"))))</f>
        <v/>
      </c>
      <c r="Q84" s="41" t="str">
        <f aca="false">IF(OR(K84="",L84=""),"",IF(L84&gt;K84,"RTO &gt; MTD","OK"))</f>
        <v/>
      </c>
      <c r="R84" s="39"/>
    </row>
    <row r="85" customFormat="false" ht="15" hidden="false" customHeight="false" outlineLevel="0" collapsed="false">
      <c r="A85" s="39"/>
      <c r="B85" s="39"/>
      <c r="C85" s="39"/>
      <c r="D85" s="39"/>
      <c r="E85" s="39"/>
      <c r="F85" s="39"/>
      <c r="G85" s="39"/>
      <c r="H85" s="39"/>
      <c r="I85" s="39"/>
      <c r="J85" s="39"/>
      <c r="K85" s="40"/>
      <c r="L85" s="40"/>
      <c r="M85" s="40"/>
      <c r="N85" s="39"/>
      <c r="O85" s="39"/>
      <c r="P85" s="41" t="str">
        <f aca="false">IF(K85="","",IF(K85&lt;=Tier1Max,"Tier 1",IF(K85&lt;=Tier2Max,"Tier 2",IF(K85&lt;=Tier3Max,"Tier 3","Tier 4"))))</f>
        <v/>
      </c>
      <c r="Q85" s="41" t="str">
        <f aca="false">IF(OR(K85="",L85=""),"",IF(L85&gt;K85,"RTO &gt; MTD","OK"))</f>
        <v/>
      </c>
      <c r="R85" s="39"/>
    </row>
    <row r="86" customFormat="false" ht="15" hidden="false" customHeight="false" outlineLevel="0" collapsed="false">
      <c r="A86" s="39"/>
      <c r="B86" s="39"/>
      <c r="C86" s="39"/>
      <c r="D86" s="39"/>
      <c r="E86" s="39"/>
      <c r="F86" s="39"/>
      <c r="G86" s="39"/>
      <c r="H86" s="39"/>
      <c r="I86" s="39"/>
      <c r="J86" s="39"/>
      <c r="K86" s="40"/>
      <c r="L86" s="40"/>
      <c r="M86" s="40"/>
      <c r="N86" s="39"/>
      <c r="O86" s="39"/>
      <c r="P86" s="41" t="str">
        <f aca="false">IF(K86="","",IF(K86&lt;=Tier1Max,"Tier 1",IF(K86&lt;=Tier2Max,"Tier 2",IF(K86&lt;=Tier3Max,"Tier 3","Tier 4"))))</f>
        <v/>
      </c>
      <c r="Q86" s="41" t="str">
        <f aca="false">IF(OR(K86="",L86=""),"",IF(L86&gt;K86,"RTO &gt; MTD","OK"))</f>
        <v/>
      </c>
      <c r="R86" s="39"/>
    </row>
    <row r="87" customFormat="false" ht="15" hidden="false" customHeight="false" outlineLevel="0" collapsed="false">
      <c r="A87" s="39"/>
      <c r="B87" s="39"/>
      <c r="C87" s="39"/>
      <c r="D87" s="39"/>
      <c r="E87" s="39"/>
      <c r="F87" s="39"/>
      <c r="G87" s="39"/>
      <c r="H87" s="39"/>
      <c r="I87" s="39"/>
      <c r="J87" s="39"/>
      <c r="K87" s="40"/>
      <c r="L87" s="40"/>
      <c r="M87" s="40"/>
      <c r="N87" s="39"/>
      <c r="O87" s="39"/>
      <c r="P87" s="41" t="str">
        <f aca="false">IF(K87="","",IF(K87&lt;=Tier1Max,"Tier 1",IF(K87&lt;=Tier2Max,"Tier 2",IF(K87&lt;=Tier3Max,"Tier 3","Tier 4"))))</f>
        <v/>
      </c>
      <c r="Q87" s="41" t="str">
        <f aca="false">IF(OR(K87="",L87=""),"",IF(L87&gt;K87,"RTO &gt; MTD","OK"))</f>
        <v/>
      </c>
      <c r="R87" s="39"/>
    </row>
    <row r="88" customFormat="false" ht="15" hidden="false" customHeight="false" outlineLevel="0" collapsed="false">
      <c r="A88" s="39"/>
      <c r="B88" s="39"/>
      <c r="C88" s="39"/>
      <c r="D88" s="39"/>
      <c r="E88" s="39"/>
      <c r="F88" s="39"/>
      <c r="G88" s="39"/>
      <c r="H88" s="39"/>
      <c r="I88" s="39"/>
      <c r="J88" s="39"/>
      <c r="K88" s="40"/>
      <c r="L88" s="40"/>
      <c r="M88" s="40"/>
      <c r="N88" s="39"/>
      <c r="O88" s="39"/>
      <c r="P88" s="41" t="str">
        <f aca="false">IF(K88="","",IF(K88&lt;=Tier1Max,"Tier 1",IF(K88&lt;=Tier2Max,"Tier 2",IF(K88&lt;=Tier3Max,"Tier 3","Tier 4"))))</f>
        <v/>
      </c>
      <c r="Q88" s="41" t="str">
        <f aca="false">IF(OR(K88="",L88=""),"",IF(L88&gt;K88,"RTO &gt; MTD","OK"))</f>
        <v/>
      </c>
      <c r="R88" s="39"/>
    </row>
    <row r="89" customFormat="false" ht="15" hidden="false" customHeight="false" outlineLevel="0" collapsed="false">
      <c r="A89" s="39"/>
      <c r="B89" s="39"/>
      <c r="C89" s="39"/>
      <c r="D89" s="39"/>
      <c r="E89" s="39"/>
      <c r="F89" s="39"/>
      <c r="G89" s="39"/>
      <c r="H89" s="39"/>
      <c r="I89" s="39"/>
      <c r="J89" s="39"/>
      <c r="K89" s="40"/>
      <c r="L89" s="40"/>
      <c r="M89" s="40"/>
      <c r="N89" s="39"/>
      <c r="O89" s="39"/>
      <c r="P89" s="41" t="str">
        <f aca="false">IF(K89="","",IF(K89&lt;=Tier1Max,"Tier 1",IF(K89&lt;=Tier2Max,"Tier 2",IF(K89&lt;=Tier3Max,"Tier 3","Tier 4"))))</f>
        <v/>
      </c>
      <c r="Q89" s="41" t="str">
        <f aca="false">IF(OR(K89="",L89=""),"",IF(L89&gt;K89,"RTO &gt; MTD","OK"))</f>
        <v/>
      </c>
      <c r="R89" s="39"/>
    </row>
    <row r="90" customFormat="false" ht="15" hidden="false" customHeight="false" outlineLevel="0" collapsed="false">
      <c r="A90" s="39"/>
      <c r="B90" s="39"/>
      <c r="C90" s="39"/>
      <c r="D90" s="39"/>
      <c r="E90" s="39"/>
      <c r="F90" s="39"/>
      <c r="G90" s="39"/>
      <c r="H90" s="39"/>
      <c r="I90" s="39"/>
      <c r="J90" s="39"/>
      <c r="K90" s="40"/>
      <c r="L90" s="40"/>
      <c r="M90" s="40"/>
      <c r="N90" s="39"/>
      <c r="O90" s="39"/>
      <c r="P90" s="41" t="str">
        <f aca="false">IF(K90="","",IF(K90&lt;=Tier1Max,"Tier 1",IF(K90&lt;=Tier2Max,"Tier 2",IF(K90&lt;=Tier3Max,"Tier 3","Tier 4"))))</f>
        <v/>
      </c>
      <c r="Q90" s="41" t="str">
        <f aca="false">IF(OR(K90="",L90=""),"",IF(L90&gt;K90,"RTO &gt; MTD","OK"))</f>
        <v/>
      </c>
      <c r="R90" s="39"/>
    </row>
    <row r="91" customFormat="false" ht="15" hidden="false" customHeight="false" outlineLevel="0" collapsed="false">
      <c r="A91" s="39"/>
      <c r="B91" s="39"/>
      <c r="C91" s="39"/>
      <c r="D91" s="39"/>
      <c r="E91" s="39"/>
      <c r="F91" s="39"/>
      <c r="G91" s="39"/>
      <c r="H91" s="39"/>
      <c r="I91" s="39"/>
      <c r="J91" s="39"/>
      <c r="K91" s="40"/>
      <c r="L91" s="40"/>
      <c r="M91" s="40"/>
      <c r="N91" s="39"/>
      <c r="O91" s="39"/>
      <c r="P91" s="41" t="str">
        <f aca="false">IF(K91="","",IF(K91&lt;=Tier1Max,"Tier 1",IF(K91&lt;=Tier2Max,"Tier 2",IF(K91&lt;=Tier3Max,"Tier 3","Tier 4"))))</f>
        <v/>
      </c>
      <c r="Q91" s="41" t="str">
        <f aca="false">IF(OR(K91="",L91=""),"",IF(L91&gt;K91,"RTO &gt; MTD","OK"))</f>
        <v/>
      </c>
      <c r="R91" s="39"/>
    </row>
    <row r="92" customFormat="false" ht="15" hidden="false" customHeight="false" outlineLevel="0" collapsed="false">
      <c r="A92" s="39"/>
      <c r="B92" s="39"/>
      <c r="C92" s="39"/>
      <c r="D92" s="39"/>
      <c r="E92" s="39"/>
      <c r="F92" s="39"/>
      <c r="G92" s="39"/>
      <c r="H92" s="39"/>
      <c r="I92" s="39"/>
      <c r="J92" s="39"/>
      <c r="K92" s="40"/>
      <c r="L92" s="40"/>
      <c r="M92" s="40"/>
      <c r="N92" s="39"/>
      <c r="O92" s="39"/>
      <c r="P92" s="41" t="str">
        <f aca="false">IF(K92="","",IF(K92&lt;=Tier1Max,"Tier 1",IF(K92&lt;=Tier2Max,"Tier 2",IF(K92&lt;=Tier3Max,"Tier 3","Tier 4"))))</f>
        <v/>
      </c>
      <c r="Q92" s="41" t="str">
        <f aca="false">IF(OR(K92="",L92=""),"",IF(L92&gt;K92,"RTO &gt; MTD","OK"))</f>
        <v/>
      </c>
      <c r="R92" s="39"/>
    </row>
    <row r="93" customFormat="false" ht="15" hidden="false" customHeight="false" outlineLevel="0" collapsed="false">
      <c r="A93" s="39"/>
      <c r="B93" s="39"/>
      <c r="C93" s="39"/>
      <c r="D93" s="39"/>
      <c r="E93" s="39"/>
      <c r="F93" s="39"/>
      <c r="G93" s="39"/>
      <c r="H93" s="39"/>
      <c r="I93" s="39"/>
      <c r="J93" s="39"/>
      <c r="K93" s="40"/>
      <c r="L93" s="40"/>
      <c r="M93" s="40"/>
      <c r="N93" s="39"/>
      <c r="O93" s="39"/>
      <c r="P93" s="41" t="str">
        <f aca="false">IF(K93="","",IF(K93&lt;=Tier1Max,"Tier 1",IF(K93&lt;=Tier2Max,"Tier 2",IF(K93&lt;=Tier3Max,"Tier 3","Tier 4"))))</f>
        <v/>
      </c>
      <c r="Q93" s="41" t="str">
        <f aca="false">IF(OR(K93="",L93=""),"",IF(L93&gt;K93,"RTO &gt; MTD","OK"))</f>
        <v/>
      </c>
      <c r="R93" s="39"/>
    </row>
    <row r="94" customFormat="false" ht="15" hidden="false" customHeight="false" outlineLevel="0" collapsed="false">
      <c r="A94" s="39"/>
      <c r="B94" s="39"/>
      <c r="C94" s="39"/>
      <c r="D94" s="39"/>
      <c r="E94" s="39"/>
      <c r="F94" s="39"/>
      <c r="G94" s="39"/>
      <c r="H94" s="39"/>
      <c r="I94" s="39"/>
      <c r="J94" s="39"/>
      <c r="K94" s="40"/>
      <c r="L94" s="40"/>
      <c r="M94" s="40"/>
      <c r="N94" s="39"/>
      <c r="O94" s="39"/>
      <c r="P94" s="41" t="str">
        <f aca="false">IF(K94="","",IF(K94&lt;=Tier1Max,"Tier 1",IF(K94&lt;=Tier2Max,"Tier 2",IF(K94&lt;=Tier3Max,"Tier 3","Tier 4"))))</f>
        <v/>
      </c>
      <c r="Q94" s="41" t="str">
        <f aca="false">IF(OR(K94="",L94=""),"",IF(L94&gt;K94,"RTO &gt; MTD","OK"))</f>
        <v/>
      </c>
      <c r="R94" s="39"/>
    </row>
    <row r="95" customFormat="false" ht="15" hidden="false" customHeight="false" outlineLevel="0" collapsed="false">
      <c r="A95" s="39"/>
      <c r="B95" s="39"/>
      <c r="C95" s="39"/>
      <c r="D95" s="39"/>
      <c r="E95" s="39"/>
      <c r="F95" s="39"/>
      <c r="G95" s="39"/>
      <c r="H95" s="39"/>
      <c r="I95" s="39"/>
      <c r="J95" s="39"/>
      <c r="K95" s="40"/>
      <c r="L95" s="40"/>
      <c r="M95" s="40"/>
      <c r="N95" s="39"/>
      <c r="O95" s="39"/>
      <c r="P95" s="41" t="str">
        <f aca="false">IF(K95="","",IF(K95&lt;=Tier1Max,"Tier 1",IF(K95&lt;=Tier2Max,"Tier 2",IF(K95&lt;=Tier3Max,"Tier 3","Tier 4"))))</f>
        <v/>
      </c>
      <c r="Q95" s="41" t="str">
        <f aca="false">IF(OR(K95="",L95=""),"",IF(L95&gt;K95,"RTO &gt; MTD","OK"))</f>
        <v/>
      </c>
      <c r="R95" s="39"/>
    </row>
    <row r="96" customFormat="false" ht="15" hidden="false" customHeight="false" outlineLevel="0" collapsed="false">
      <c r="A96" s="39"/>
      <c r="B96" s="39"/>
      <c r="C96" s="39"/>
      <c r="D96" s="39"/>
      <c r="E96" s="39"/>
      <c r="F96" s="39"/>
      <c r="G96" s="39"/>
      <c r="H96" s="39"/>
      <c r="I96" s="39"/>
      <c r="J96" s="39"/>
      <c r="K96" s="40"/>
      <c r="L96" s="40"/>
      <c r="M96" s="40"/>
      <c r="N96" s="39"/>
      <c r="O96" s="39"/>
      <c r="P96" s="41" t="str">
        <f aca="false">IF(K96="","",IF(K96&lt;=Tier1Max,"Tier 1",IF(K96&lt;=Tier2Max,"Tier 2",IF(K96&lt;=Tier3Max,"Tier 3","Tier 4"))))</f>
        <v/>
      </c>
      <c r="Q96" s="41" t="str">
        <f aca="false">IF(OR(K96="",L96=""),"",IF(L96&gt;K96,"RTO &gt; MTD","OK"))</f>
        <v/>
      </c>
      <c r="R96" s="39"/>
    </row>
    <row r="97" customFormat="false" ht="15" hidden="false" customHeight="false" outlineLevel="0" collapsed="false">
      <c r="A97" s="39"/>
      <c r="B97" s="39"/>
      <c r="C97" s="39"/>
      <c r="D97" s="39"/>
      <c r="E97" s="39"/>
      <c r="F97" s="39"/>
      <c r="G97" s="39"/>
      <c r="H97" s="39"/>
      <c r="I97" s="39"/>
      <c r="J97" s="39"/>
      <c r="K97" s="40"/>
      <c r="L97" s="40"/>
      <c r="M97" s="40"/>
      <c r="N97" s="39"/>
      <c r="O97" s="39"/>
      <c r="P97" s="41" t="str">
        <f aca="false">IF(K97="","",IF(K97&lt;=Tier1Max,"Tier 1",IF(K97&lt;=Tier2Max,"Tier 2",IF(K97&lt;=Tier3Max,"Tier 3","Tier 4"))))</f>
        <v/>
      </c>
      <c r="Q97" s="41" t="str">
        <f aca="false">IF(OR(K97="",L97=""),"",IF(L97&gt;K97,"RTO &gt; MTD","OK"))</f>
        <v/>
      </c>
      <c r="R97" s="39"/>
    </row>
    <row r="98" customFormat="false" ht="15" hidden="false" customHeight="false" outlineLevel="0" collapsed="false">
      <c r="A98" s="39"/>
      <c r="B98" s="39"/>
      <c r="C98" s="39"/>
      <c r="D98" s="39"/>
      <c r="E98" s="39"/>
      <c r="F98" s="39"/>
      <c r="G98" s="39"/>
      <c r="H98" s="39"/>
      <c r="I98" s="39"/>
      <c r="J98" s="39"/>
      <c r="K98" s="40"/>
      <c r="L98" s="40"/>
      <c r="M98" s="40"/>
      <c r="N98" s="39"/>
      <c r="O98" s="39"/>
      <c r="P98" s="41" t="str">
        <f aca="false">IF(K98="","",IF(K98&lt;=Tier1Max,"Tier 1",IF(K98&lt;=Tier2Max,"Tier 2",IF(K98&lt;=Tier3Max,"Tier 3","Tier 4"))))</f>
        <v/>
      </c>
      <c r="Q98" s="41" t="str">
        <f aca="false">IF(OR(K98="",L98=""),"",IF(L98&gt;K98,"RTO &gt; MTD","OK"))</f>
        <v/>
      </c>
      <c r="R98" s="39"/>
    </row>
    <row r="99" customFormat="false" ht="15" hidden="false" customHeight="false" outlineLevel="0" collapsed="false">
      <c r="A99" s="39"/>
      <c r="B99" s="39"/>
      <c r="C99" s="39"/>
      <c r="D99" s="39"/>
      <c r="E99" s="39"/>
      <c r="F99" s="39"/>
      <c r="G99" s="39"/>
      <c r="H99" s="39"/>
      <c r="I99" s="39"/>
      <c r="J99" s="39"/>
      <c r="K99" s="40"/>
      <c r="L99" s="40"/>
      <c r="M99" s="40"/>
      <c r="N99" s="39"/>
      <c r="O99" s="39"/>
      <c r="P99" s="41" t="str">
        <f aca="false">IF(K99="","",IF(K99&lt;=Tier1Max,"Tier 1",IF(K99&lt;=Tier2Max,"Tier 2",IF(K99&lt;=Tier3Max,"Tier 3","Tier 4"))))</f>
        <v/>
      </c>
      <c r="Q99" s="41" t="str">
        <f aca="false">IF(OR(K99="",L99=""),"",IF(L99&gt;K99,"RTO &gt; MTD","OK"))</f>
        <v/>
      </c>
      <c r="R99" s="39"/>
    </row>
    <row r="100" customFormat="false" ht="15" hidden="false" customHeight="false" outlineLevel="0" collapsed="false">
      <c r="A100" s="39"/>
      <c r="B100" s="39"/>
      <c r="C100" s="39"/>
      <c r="D100" s="39"/>
      <c r="E100" s="39"/>
      <c r="F100" s="39"/>
      <c r="G100" s="39"/>
      <c r="H100" s="39"/>
      <c r="I100" s="39"/>
      <c r="J100" s="39"/>
      <c r="K100" s="40"/>
      <c r="L100" s="40"/>
      <c r="M100" s="40"/>
      <c r="N100" s="39"/>
      <c r="O100" s="39"/>
      <c r="P100" s="41" t="str">
        <f aca="false">IF(K100="","",IF(K100&lt;=Tier1Max,"Tier 1",IF(K100&lt;=Tier2Max,"Tier 2",IF(K100&lt;=Tier3Max,"Tier 3","Tier 4"))))</f>
        <v/>
      </c>
      <c r="Q100" s="41" t="str">
        <f aca="false">IF(OR(K100="",L100=""),"",IF(L100&gt;K100,"RTO &gt; MTD","OK"))</f>
        <v/>
      </c>
      <c r="R100" s="39"/>
    </row>
    <row r="101" customFormat="false" ht="15" hidden="false" customHeight="false" outlineLevel="0" collapsed="false">
      <c r="A101" s="39"/>
      <c r="B101" s="39"/>
      <c r="C101" s="39"/>
      <c r="D101" s="39"/>
      <c r="E101" s="39"/>
      <c r="F101" s="39"/>
      <c r="G101" s="39"/>
      <c r="H101" s="39"/>
      <c r="I101" s="39"/>
      <c r="J101" s="39"/>
      <c r="K101" s="40"/>
      <c r="L101" s="40"/>
      <c r="M101" s="40"/>
      <c r="N101" s="39"/>
      <c r="O101" s="39"/>
      <c r="P101" s="41" t="str">
        <f aca="false">IF(K101="","",IF(K101&lt;=Tier1Max,"Tier 1",IF(K101&lt;=Tier2Max,"Tier 2",IF(K101&lt;=Tier3Max,"Tier 3","Tier 4"))))</f>
        <v/>
      </c>
      <c r="Q101" s="41" t="str">
        <f aca="false">IF(OR(K101="",L101=""),"",IF(L101&gt;K101,"RTO &gt; MTD","OK"))</f>
        <v/>
      </c>
      <c r="R101" s="39"/>
    </row>
    <row r="102" customFormat="false" ht="15" hidden="false" customHeight="false" outlineLevel="0" collapsed="false">
      <c r="A102" s="39"/>
      <c r="B102" s="39"/>
      <c r="C102" s="39"/>
      <c r="D102" s="39"/>
      <c r="E102" s="39"/>
      <c r="F102" s="39"/>
      <c r="G102" s="39"/>
      <c r="H102" s="39"/>
      <c r="I102" s="39"/>
      <c r="J102" s="39"/>
      <c r="K102" s="40"/>
      <c r="L102" s="40"/>
      <c r="M102" s="40"/>
      <c r="N102" s="39"/>
      <c r="O102" s="39"/>
      <c r="P102" s="41" t="str">
        <f aca="false">IF(K102="","",IF(K102&lt;=Tier1Max,"Tier 1",IF(K102&lt;=Tier2Max,"Tier 2",IF(K102&lt;=Tier3Max,"Tier 3","Tier 4"))))</f>
        <v/>
      </c>
      <c r="Q102" s="41" t="str">
        <f aca="false">IF(OR(K102="",L102=""),"",IF(L102&gt;K102,"RTO &gt; MTD","OK"))</f>
        <v/>
      </c>
      <c r="R102" s="39"/>
    </row>
    <row r="103" customFormat="false" ht="15" hidden="false" customHeight="false" outlineLevel="0" collapsed="false">
      <c r="A103" s="39"/>
      <c r="B103" s="39"/>
      <c r="C103" s="39"/>
      <c r="D103" s="39"/>
      <c r="E103" s="39"/>
      <c r="F103" s="39"/>
      <c r="G103" s="39"/>
      <c r="H103" s="39"/>
      <c r="I103" s="39"/>
      <c r="J103" s="39"/>
      <c r="K103" s="40"/>
      <c r="L103" s="40"/>
      <c r="M103" s="40"/>
      <c r="N103" s="39"/>
      <c r="O103" s="39"/>
      <c r="P103" s="41" t="str">
        <f aca="false">IF(K103="","",IF(K103&lt;=Tier1Max,"Tier 1",IF(K103&lt;=Tier2Max,"Tier 2",IF(K103&lt;=Tier3Max,"Tier 3","Tier 4"))))</f>
        <v/>
      </c>
      <c r="Q103" s="41" t="str">
        <f aca="false">IF(OR(K103="",L103=""),"",IF(L103&gt;K103,"RTO &gt; MTD","OK"))</f>
        <v/>
      </c>
      <c r="R103" s="39"/>
    </row>
    <row r="104" customFormat="false" ht="15" hidden="false" customHeight="false" outlineLevel="0" collapsed="false">
      <c r="A104" s="39"/>
      <c r="B104" s="39"/>
      <c r="C104" s="39"/>
      <c r="D104" s="39"/>
      <c r="E104" s="39"/>
      <c r="F104" s="39"/>
      <c r="G104" s="39"/>
      <c r="H104" s="39"/>
      <c r="I104" s="39"/>
      <c r="J104" s="39"/>
      <c r="K104" s="40"/>
      <c r="L104" s="40"/>
      <c r="M104" s="40"/>
      <c r="N104" s="39"/>
      <c r="O104" s="39"/>
      <c r="P104" s="41" t="str">
        <f aca="false">IF(K104="","",IF(K104&lt;=Tier1Max,"Tier 1",IF(K104&lt;=Tier2Max,"Tier 2",IF(K104&lt;=Tier3Max,"Tier 3","Tier 4"))))</f>
        <v/>
      </c>
      <c r="Q104" s="41" t="str">
        <f aca="false">IF(OR(K104="",L104=""),"",IF(L104&gt;K104,"RTO &gt; MTD","OK"))</f>
        <v/>
      </c>
      <c r="R104" s="39"/>
    </row>
    <row r="105" customFormat="false" ht="15" hidden="false" customHeight="false" outlineLevel="0" collapsed="false">
      <c r="A105" s="39"/>
      <c r="B105" s="39"/>
      <c r="C105" s="39"/>
      <c r="D105" s="39"/>
      <c r="E105" s="39"/>
      <c r="F105" s="39"/>
      <c r="G105" s="39"/>
      <c r="H105" s="39"/>
      <c r="I105" s="39"/>
      <c r="J105" s="39"/>
      <c r="K105" s="40"/>
      <c r="L105" s="40"/>
      <c r="M105" s="40"/>
      <c r="N105" s="39"/>
      <c r="O105" s="39"/>
      <c r="P105" s="41" t="str">
        <f aca="false">IF(K105="","",IF(K105&lt;=Tier1Max,"Tier 1",IF(K105&lt;=Tier2Max,"Tier 2",IF(K105&lt;=Tier3Max,"Tier 3","Tier 4"))))</f>
        <v/>
      </c>
      <c r="Q105" s="41" t="str">
        <f aca="false">IF(OR(K105="",L105=""),"",IF(L105&gt;K105,"RTO &gt; MTD","OK"))</f>
        <v/>
      </c>
      <c r="R105" s="39"/>
    </row>
  </sheetData>
  <mergeCells count="2">
    <mergeCell ref="A1:R1"/>
    <mergeCell ref="A2:R2"/>
  </mergeCells>
  <conditionalFormatting sqref="Q5:Q105">
    <cfRule type="expression" priority="2" aboveAverage="0" equalAverage="0" bottom="0" percent="0" rank="0" text="" dxfId="0">
      <formula>OR(Q5="RTO &gt; MTD")</formula>
    </cfRule>
    <cfRule type="expression" priority="3" aboveAverage="0" equalAverage="0" bottom="0" percent="0" rank="0" text="" dxfId="1">
      <formula>OR(Q5="OK")</formula>
    </cfRule>
  </conditionalFormatting>
  <dataValidations count="6">
    <dataValidation allowBlank="true" errorStyle="stop" operator="between" showDropDown="false" showErrorMessage="false" showInputMessage="false" sqref="G5:G105" type="list">
      <formula1>Impact</formula1>
      <formula2>0</formula2>
    </dataValidation>
    <dataValidation allowBlank="true" errorStyle="stop" operator="between" showDropDown="false" showErrorMessage="false" showInputMessage="false" sqref="H5:H105" type="list">
      <formula1>Impact</formula1>
      <formula2>0</formula2>
    </dataValidation>
    <dataValidation allowBlank="true" errorStyle="stop" operator="between" showDropDown="false" showErrorMessage="false" showInputMessage="false" sqref="I5:I105" type="list">
      <formula1>Impact</formula1>
      <formula2>0</formula2>
    </dataValidation>
    <dataValidation allowBlank="true" errorStyle="stop" operator="between" showDropDown="false" showErrorMessage="false" showInputMessage="false" sqref="J5:J105" type="list">
      <formula1>Impact</formula1>
      <formula2>0</formula2>
    </dataValidation>
    <dataValidation allowBlank="true" error="Enter a number (hours, days, or GB as the header says)." errorStyle="stop" errorTitle="Number required" operator="greaterThanOrEqual" showDropDown="false" showErrorMessage="true" showInputMessage="false" sqref="K5:M105" type="decimal">
      <formula1>0</formula1>
      <formula2>0</formula2>
    </dataValidation>
    <dataValidation allowBlank="true" errorStyle="stop" operator="between" showDropDown="false" showErrorMessage="false" showInputMessage="false" sqref="N5:N105" type="list">
      <formula1>YesNo</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&amp;A&amp;R&amp;8 Powered by MSP Culture  |  v1.0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8FF"/>
    <pageSetUpPr fitToPage="true"/>
  </sheetPr>
  <dimension ref="A1:S1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4" min="3" style="0" width="16"/>
    <col collapsed="false" customWidth="true" hidden="false" outlineLevel="0" max="5" min="5" style="0" width="22"/>
    <col collapsed="false" customWidth="true" hidden="false" outlineLevel="0" max="7" min="6" style="0" width="18"/>
    <col collapsed="false" customWidth="true" hidden="false" outlineLevel="0" max="8" min="8" style="0" width="10"/>
    <col collapsed="false" customWidth="true" hidden="false" outlineLevel="0" max="10" min="9" style="0" width="9"/>
    <col collapsed="false" customWidth="true" hidden="false" outlineLevel="0" max="11" min="11" style="0" width="10"/>
    <col collapsed="false" customWidth="true" hidden="false" outlineLevel="0" max="12" min="12" style="0" width="28"/>
    <col collapsed="false" customWidth="true" hidden="false" outlineLevel="0" max="13" min="13" style="0" width="16"/>
    <col collapsed="false" customWidth="true" hidden="false" outlineLevel="0" max="14" min="14" style="0" width="22"/>
    <col collapsed="false" customWidth="true" hidden="false" outlineLevel="0" max="15" min="15" style="0" width="18"/>
    <col collapsed="false" customWidth="true" hidden="false" outlineLevel="0" max="16" min="16" style="0" width="20"/>
    <col collapsed="false" customWidth="true" hidden="false" outlineLevel="0" max="17" min="17" style="0" width="22"/>
    <col collapsed="false" customWidth="true" hidden="false" outlineLevel="0" max="18" min="18" style="0" width="10"/>
    <col collapsed="false" customWidth="true" hidden="false" outlineLevel="0" max="19" min="19" style="0" width="24"/>
  </cols>
  <sheetData>
    <row r="1" customFormat="false" ht="33.75" hidden="false" customHeight="true" outlineLevel="0" collapsed="false">
      <c r="A1" s="26" t="str">
        <f aca="false">IF(PreparedFor="","Critical Applications","Critical Applications  |  "&amp;PreparedFor)</f>
        <v>Critical Applications</v>
      </c>
      <c r="B1" s="26"/>
      <c r="C1" s="26"/>
      <c r="D1" s="26"/>
      <c r="E1" s="26"/>
      <c r="F1" s="26"/>
      <c r="G1" s="26"/>
      <c r="H1" s="26"/>
      <c r="I1" s="26"/>
      <c r="J1" s="26"/>
      <c r="K1" s="26"/>
      <c r="L1" s="26"/>
      <c r="M1" s="26"/>
      <c r="N1" s="26"/>
      <c r="O1" s="26"/>
      <c r="P1" s="26"/>
      <c r="Q1" s="26"/>
      <c r="R1" s="26"/>
      <c r="S1" s="26"/>
    </row>
    <row r="2" customFormat="false" ht="48" hidden="false" customHeight="true" outlineLevel="0" collapsed="false">
      <c r="A2" s="27" t="s">
        <v>194</v>
      </c>
      <c r="B2" s="27"/>
      <c r="C2" s="27"/>
      <c r="D2" s="27"/>
      <c r="E2" s="27"/>
      <c r="F2" s="27"/>
      <c r="G2" s="27"/>
      <c r="H2" s="27"/>
      <c r="I2" s="27"/>
      <c r="J2" s="27"/>
      <c r="K2" s="27"/>
      <c r="L2" s="27"/>
      <c r="M2" s="27"/>
      <c r="N2" s="27"/>
      <c r="O2" s="27"/>
      <c r="P2" s="27"/>
      <c r="Q2" s="27"/>
      <c r="R2" s="27"/>
      <c r="S2" s="27"/>
    </row>
    <row r="3" customFormat="false" ht="42" hidden="false" customHeight="true" outlineLevel="0" collapsed="false">
      <c r="A3" s="33" t="s">
        <v>195</v>
      </c>
      <c r="B3" s="33" t="s">
        <v>196</v>
      </c>
      <c r="C3" s="33" t="s">
        <v>197</v>
      </c>
      <c r="D3" s="33" t="s">
        <v>198</v>
      </c>
      <c r="E3" s="33" t="s">
        <v>199</v>
      </c>
      <c r="F3" s="33" t="s">
        <v>200</v>
      </c>
      <c r="G3" s="33" t="s">
        <v>201</v>
      </c>
      <c r="H3" s="33" t="s">
        <v>202</v>
      </c>
      <c r="I3" s="33" t="s">
        <v>203</v>
      </c>
      <c r="J3" s="33" t="s">
        <v>204</v>
      </c>
      <c r="K3" s="33" t="s">
        <v>205</v>
      </c>
      <c r="L3" s="33" t="s">
        <v>206</v>
      </c>
      <c r="M3" s="33" t="s">
        <v>207</v>
      </c>
      <c r="N3" s="33" t="s">
        <v>208</v>
      </c>
      <c r="O3" s="33" t="s">
        <v>209</v>
      </c>
      <c r="P3" s="33" t="s">
        <v>210</v>
      </c>
      <c r="Q3" s="33" t="s">
        <v>211</v>
      </c>
      <c r="R3" s="33" t="s">
        <v>212</v>
      </c>
      <c r="S3" s="33" t="s">
        <v>177</v>
      </c>
    </row>
    <row r="4" customFormat="false" ht="66" hidden="false" customHeight="true" outlineLevel="0" collapsed="false">
      <c r="A4" s="35"/>
      <c r="B4" s="35"/>
      <c r="C4" s="35"/>
      <c r="D4" s="35"/>
      <c r="E4" s="35" t="s">
        <v>213</v>
      </c>
      <c r="F4" s="35"/>
      <c r="G4" s="35"/>
      <c r="H4" s="35" t="s">
        <v>214</v>
      </c>
      <c r="I4" s="35"/>
      <c r="J4" s="35"/>
      <c r="K4" s="35" t="s">
        <v>215</v>
      </c>
      <c r="L4" s="35" t="s">
        <v>216</v>
      </c>
      <c r="M4" s="35"/>
      <c r="N4" s="35" t="s">
        <v>217</v>
      </c>
      <c r="O4" s="35" t="s">
        <v>218</v>
      </c>
      <c r="P4" s="35"/>
      <c r="Q4" s="35" t="s">
        <v>219</v>
      </c>
      <c r="R4" s="35" t="s">
        <v>220</v>
      </c>
      <c r="S4" s="35"/>
    </row>
    <row r="5" customFormat="false" ht="22.35" hidden="false" customHeight="false" outlineLevel="0" collapsed="false">
      <c r="A5" s="36" t="s">
        <v>221</v>
      </c>
      <c r="B5" s="36" t="s">
        <v>222</v>
      </c>
      <c r="C5" s="36" t="s">
        <v>223</v>
      </c>
      <c r="D5" s="36" t="s">
        <v>224</v>
      </c>
      <c r="E5" s="36" t="s">
        <v>225</v>
      </c>
      <c r="F5" s="36" t="s">
        <v>186</v>
      </c>
      <c r="G5" s="36" t="s">
        <v>226</v>
      </c>
      <c r="H5" s="36" t="s">
        <v>227</v>
      </c>
      <c r="I5" s="37" t="n">
        <v>24</v>
      </c>
      <c r="J5" s="37" t="n">
        <v>24</v>
      </c>
      <c r="K5" s="37" t="n">
        <v>8</v>
      </c>
      <c r="L5" s="36" t="s">
        <v>228</v>
      </c>
      <c r="M5" s="36" t="s">
        <v>229</v>
      </c>
      <c r="N5" s="36" t="s">
        <v>230</v>
      </c>
      <c r="O5" s="36" t="s">
        <v>231</v>
      </c>
      <c r="P5" s="36" t="s">
        <v>232</v>
      </c>
      <c r="Q5" s="36" t="s">
        <v>233</v>
      </c>
      <c r="R5" s="36" t="s">
        <v>234</v>
      </c>
      <c r="S5" s="36"/>
    </row>
    <row r="6" customFormat="false" ht="15" hidden="false" customHeight="false" outlineLevel="0" collapsed="false">
      <c r="A6" s="39"/>
      <c r="B6" s="39"/>
      <c r="C6" s="39"/>
      <c r="D6" s="39"/>
      <c r="E6" s="39"/>
      <c r="F6" s="39"/>
      <c r="G6" s="39"/>
      <c r="H6" s="39"/>
      <c r="I6" s="40"/>
      <c r="J6" s="40"/>
      <c r="K6" s="40"/>
      <c r="L6" s="39"/>
      <c r="M6" s="39"/>
      <c r="N6" s="39"/>
      <c r="O6" s="39"/>
      <c r="P6" s="39"/>
      <c r="Q6" s="39"/>
      <c r="R6" s="39"/>
      <c r="S6" s="39"/>
    </row>
    <row r="7" customFormat="false" ht="15" hidden="false" customHeight="false" outlineLevel="0" collapsed="false">
      <c r="A7" s="39"/>
      <c r="B7" s="39"/>
      <c r="C7" s="39"/>
      <c r="D7" s="39"/>
      <c r="E7" s="39"/>
      <c r="F7" s="39"/>
      <c r="G7" s="39"/>
      <c r="H7" s="39"/>
      <c r="I7" s="40"/>
      <c r="J7" s="40"/>
      <c r="K7" s="40"/>
      <c r="L7" s="39"/>
      <c r="M7" s="39"/>
      <c r="N7" s="39"/>
      <c r="O7" s="39"/>
      <c r="P7" s="39"/>
      <c r="Q7" s="39"/>
      <c r="R7" s="39"/>
      <c r="S7" s="39"/>
    </row>
    <row r="8" customFormat="false" ht="15" hidden="false" customHeight="false" outlineLevel="0" collapsed="false">
      <c r="A8" s="39"/>
      <c r="B8" s="39"/>
      <c r="C8" s="39"/>
      <c r="D8" s="39"/>
      <c r="E8" s="39"/>
      <c r="F8" s="39"/>
      <c r="G8" s="39"/>
      <c r="H8" s="39"/>
      <c r="I8" s="40"/>
      <c r="J8" s="40"/>
      <c r="K8" s="40"/>
      <c r="L8" s="39"/>
      <c r="M8" s="39"/>
      <c r="N8" s="39"/>
      <c r="O8" s="39"/>
      <c r="P8" s="39"/>
      <c r="Q8" s="39"/>
      <c r="R8" s="39"/>
      <c r="S8" s="39"/>
    </row>
    <row r="9" customFormat="false" ht="15" hidden="false" customHeight="false" outlineLevel="0" collapsed="false">
      <c r="A9" s="39"/>
      <c r="B9" s="39"/>
      <c r="C9" s="39"/>
      <c r="D9" s="39"/>
      <c r="E9" s="39"/>
      <c r="F9" s="39"/>
      <c r="G9" s="39"/>
      <c r="H9" s="39"/>
      <c r="I9" s="40"/>
      <c r="J9" s="40"/>
      <c r="K9" s="40"/>
      <c r="L9" s="39"/>
      <c r="M9" s="39"/>
      <c r="N9" s="39"/>
      <c r="O9" s="39"/>
      <c r="P9" s="39"/>
      <c r="Q9" s="39"/>
      <c r="R9" s="39"/>
      <c r="S9" s="39"/>
    </row>
    <row r="10" customFormat="false" ht="15" hidden="false" customHeight="false" outlineLevel="0" collapsed="false">
      <c r="A10" s="39"/>
      <c r="B10" s="39"/>
      <c r="C10" s="39"/>
      <c r="D10" s="39"/>
      <c r="E10" s="39"/>
      <c r="F10" s="39"/>
      <c r="G10" s="39"/>
      <c r="H10" s="39"/>
      <c r="I10" s="40"/>
      <c r="J10" s="40"/>
      <c r="K10" s="40"/>
      <c r="L10" s="39"/>
      <c r="M10" s="39"/>
      <c r="N10" s="39"/>
      <c r="O10" s="39"/>
      <c r="P10" s="39"/>
      <c r="Q10" s="39"/>
      <c r="R10" s="39"/>
      <c r="S10" s="39"/>
    </row>
    <row r="11" customFormat="false" ht="15" hidden="false" customHeight="false" outlineLevel="0" collapsed="false">
      <c r="A11" s="39"/>
      <c r="B11" s="39"/>
      <c r="C11" s="39"/>
      <c r="D11" s="39"/>
      <c r="E11" s="39"/>
      <c r="F11" s="39"/>
      <c r="G11" s="39"/>
      <c r="H11" s="39"/>
      <c r="I11" s="40"/>
      <c r="J11" s="40"/>
      <c r="K11" s="40"/>
      <c r="L11" s="39"/>
      <c r="M11" s="39"/>
      <c r="N11" s="39"/>
      <c r="O11" s="39"/>
      <c r="P11" s="39"/>
      <c r="Q11" s="39"/>
      <c r="R11" s="39"/>
      <c r="S11" s="39"/>
    </row>
    <row r="12" customFormat="false" ht="15" hidden="false" customHeight="false" outlineLevel="0" collapsed="false">
      <c r="A12" s="39"/>
      <c r="B12" s="39"/>
      <c r="C12" s="39"/>
      <c r="D12" s="39"/>
      <c r="E12" s="39"/>
      <c r="F12" s="39"/>
      <c r="G12" s="39"/>
      <c r="H12" s="39"/>
      <c r="I12" s="40"/>
      <c r="J12" s="40"/>
      <c r="K12" s="40"/>
      <c r="L12" s="39"/>
      <c r="M12" s="39"/>
      <c r="N12" s="39"/>
      <c r="O12" s="39"/>
      <c r="P12" s="39"/>
      <c r="Q12" s="39"/>
      <c r="R12" s="39"/>
      <c r="S12" s="39"/>
    </row>
    <row r="13" customFormat="false" ht="15" hidden="false" customHeight="false" outlineLevel="0" collapsed="false">
      <c r="A13" s="39"/>
      <c r="B13" s="39"/>
      <c r="C13" s="39"/>
      <c r="D13" s="39"/>
      <c r="E13" s="39"/>
      <c r="F13" s="39"/>
      <c r="G13" s="39"/>
      <c r="H13" s="39"/>
      <c r="I13" s="40"/>
      <c r="J13" s="40"/>
      <c r="K13" s="40"/>
      <c r="L13" s="39"/>
      <c r="M13" s="39"/>
      <c r="N13" s="39"/>
      <c r="O13" s="39"/>
      <c r="P13" s="39"/>
      <c r="Q13" s="39"/>
      <c r="R13" s="39"/>
      <c r="S13" s="39"/>
    </row>
    <row r="14" customFormat="false" ht="15" hidden="false" customHeight="false" outlineLevel="0" collapsed="false">
      <c r="A14" s="39"/>
      <c r="B14" s="39"/>
      <c r="C14" s="39"/>
      <c r="D14" s="39"/>
      <c r="E14" s="39"/>
      <c r="F14" s="39"/>
      <c r="G14" s="39"/>
      <c r="H14" s="39"/>
      <c r="I14" s="40"/>
      <c r="J14" s="40"/>
      <c r="K14" s="40"/>
      <c r="L14" s="39"/>
      <c r="M14" s="39"/>
      <c r="N14" s="39"/>
      <c r="O14" s="39"/>
      <c r="P14" s="39"/>
      <c r="Q14" s="39"/>
      <c r="R14" s="39"/>
      <c r="S14" s="39"/>
    </row>
    <row r="15" customFormat="false" ht="15" hidden="false" customHeight="false" outlineLevel="0" collapsed="false">
      <c r="A15" s="39"/>
      <c r="B15" s="39"/>
      <c r="C15" s="39"/>
      <c r="D15" s="39"/>
      <c r="E15" s="39"/>
      <c r="F15" s="39"/>
      <c r="G15" s="39"/>
      <c r="H15" s="39"/>
      <c r="I15" s="40"/>
      <c r="J15" s="40"/>
      <c r="K15" s="40"/>
      <c r="L15" s="39"/>
      <c r="M15" s="39"/>
      <c r="N15" s="39"/>
      <c r="O15" s="39"/>
      <c r="P15" s="39"/>
      <c r="Q15" s="39"/>
      <c r="R15" s="39"/>
      <c r="S15" s="39"/>
    </row>
    <row r="16" customFormat="false" ht="15" hidden="false" customHeight="false" outlineLevel="0" collapsed="false">
      <c r="A16" s="39"/>
      <c r="B16" s="39"/>
      <c r="C16" s="39"/>
      <c r="D16" s="39"/>
      <c r="E16" s="39"/>
      <c r="F16" s="39"/>
      <c r="G16" s="39"/>
      <c r="H16" s="39"/>
      <c r="I16" s="40"/>
      <c r="J16" s="40"/>
      <c r="K16" s="40"/>
      <c r="L16" s="39"/>
      <c r="M16" s="39"/>
      <c r="N16" s="39"/>
      <c r="O16" s="39"/>
      <c r="P16" s="39"/>
      <c r="Q16" s="39"/>
      <c r="R16" s="39"/>
      <c r="S16" s="39"/>
    </row>
    <row r="17" customFormat="false" ht="15" hidden="false" customHeight="false" outlineLevel="0" collapsed="false">
      <c r="A17" s="39"/>
      <c r="B17" s="39"/>
      <c r="C17" s="39"/>
      <c r="D17" s="39"/>
      <c r="E17" s="39"/>
      <c r="F17" s="39"/>
      <c r="G17" s="39"/>
      <c r="H17" s="39"/>
      <c r="I17" s="40"/>
      <c r="J17" s="40"/>
      <c r="K17" s="40"/>
      <c r="L17" s="39"/>
      <c r="M17" s="39"/>
      <c r="N17" s="39"/>
      <c r="O17" s="39"/>
      <c r="P17" s="39"/>
      <c r="Q17" s="39"/>
      <c r="R17" s="39"/>
      <c r="S17" s="39"/>
    </row>
    <row r="18" customFormat="false" ht="15" hidden="false" customHeight="false" outlineLevel="0" collapsed="false">
      <c r="A18" s="39"/>
      <c r="B18" s="39"/>
      <c r="C18" s="39"/>
      <c r="D18" s="39"/>
      <c r="E18" s="39"/>
      <c r="F18" s="39"/>
      <c r="G18" s="39"/>
      <c r="H18" s="39"/>
      <c r="I18" s="40"/>
      <c r="J18" s="40"/>
      <c r="K18" s="40"/>
      <c r="L18" s="39"/>
      <c r="M18" s="39"/>
      <c r="N18" s="39"/>
      <c r="O18" s="39"/>
      <c r="P18" s="39"/>
      <c r="Q18" s="39"/>
      <c r="R18" s="39"/>
      <c r="S18" s="39"/>
    </row>
    <row r="19" customFormat="false" ht="15" hidden="false" customHeight="false" outlineLevel="0" collapsed="false">
      <c r="A19" s="39"/>
      <c r="B19" s="39"/>
      <c r="C19" s="39"/>
      <c r="D19" s="39"/>
      <c r="E19" s="39"/>
      <c r="F19" s="39"/>
      <c r="G19" s="39"/>
      <c r="H19" s="39"/>
      <c r="I19" s="40"/>
      <c r="J19" s="40"/>
      <c r="K19" s="40"/>
      <c r="L19" s="39"/>
      <c r="M19" s="39"/>
      <c r="N19" s="39"/>
      <c r="O19" s="39"/>
      <c r="P19" s="39"/>
      <c r="Q19" s="39"/>
      <c r="R19" s="39"/>
      <c r="S19" s="39"/>
    </row>
    <row r="20" customFormat="false" ht="15" hidden="false" customHeight="false" outlineLevel="0" collapsed="false">
      <c r="A20" s="39"/>
      <c r="B20" s="39"/>
      <c r="C20" s="39"/>
      <c r="D20" s="39"/>
      <c r="E20" s="39"/>
      <c r="F20" s="39"/>
      <c r="G20" s="39"/>
      <c r="H20" s="39"/>
      <c r="I20" s="40"/>
      <c r="J20" s="40"/>
      <c r="K20" s="40"/>
      <c r="L20" s="39"/>
      <c r="M20" s="39"/>
      <c r="N20" s="39"/>
      <c r="O20" s="39"/>
      <c r="P20" s="39"/>
      <c r="Q20" s="39"/>
      <c r="R20" s="39"/>
      <c r="S20" s="39"/>
    </row>
    <row r="21" customFormat="false" ht="15" hidden="false" customHeight="false" outlineLevel="0" collapsed="false">
      <c r="A21" s="39"/>
      <c r="B21" s="39"/>
      <c r="C21" s="39"/>
      <c r="D21" s="39"/>
      <c r="E21" s="39"/>
      <c r="F21" s="39"/>
      <c r="G21" s="39"/>
      <c r="H21" s="39"/>
      <c r="I21" s="40"/>
      <c r="J21" s="40"/>
      <c r="K21" s="40"/>
      <c r="L21" s="39"/>
      <c r="M21" s="39"/>
      <c r="N21" s="39"/>
      <c r="O21" s="39"/>
      <c r="P21" s="39"/>
      <c r="Q21" s="39"/>
      <c r="R21" s="39"/>
      <c r="S21" s="39"/>
    </row>
    <row r="22" customFormat="false" ht="15" hidden="false" customHeight="false" outlineLevel="0" collapsed="false">
      <c r="A22" s="39"/>
      <c r="B22" s="39"/>
      <c r="C22" s="39"/>
      <c r="D22" s="39"/>
      <c r="E22" s="39"/>
      <c r="F22" s="39"/>
      <c r="G22" s="39"/>
      <c r="H22" s="39"/>
      <c r="I22" s="40"/>
      <c r="J22" s="40"/>
      <c r="K22" s="40"/>
      <c r="L22" s="39"/>
      <c r="M22" s="39"/>
      <c r="N22" s="39"/>
      <c r="O22" s="39"/>
      <c r="P22" s="39"/>
      <c r="Q22" s="39"/>
      <c r="R22" s="39"/>
      <c r="S22" s="39"/>
    </row>
    <row r="23" customFormat="false" ht="15" hidden="false" customHeight="false" outlineLevel="0" collapsed="false">
      <c r="A23" s="39"/>
      <c r="B23" s="39"/>
      <c r="C23" s="39"/>
      <c r="D23" s="39"/>
      <c r="E23" s="39"/>
      <c r="F23" s="39"/>
      <c r="G23" s="39"/>
      <c r="H23" s="39"/>
      <c r="I23" s="40"/>
      <c r="J23" s="40"/>
      <c r="K23" s="40"/>
      <c r="L23" s="39"/>
      <c r="M23" s="39"/>
      <c r="N23" s="39"/>
      <c r="O23" s="39"/>
      <c r="P23" s="39"/>
      <c r="Q23" s="39"/>
      <c r="R23" s="39"/>
      <c r="S23" s="39"/>
    </row>
    <row r="24" customFormat="false" ht="15" hidden="false" customHeight="false" outlineLevel="0" collapsed="false">
      <c r="A24" s="39"/>
      <c r="B24" s="39"/>
      <c r="C24" s="39"/>
      <c r="D24" s="39"/>
      <c r="E24" s="39"/>
      <c r="F24" s="39"/>
      <c r="G24" s="39"/>
      <c r="H24" s="39"/>
      <c r="I24" s="40"/>
      <c r="J24" s="40"/>
      <c r="K24" s="40"/>
      <c r="L24" s="39"/>
      <c r="M24" s="39"/>
      <c r="N24" s="39"/>
      <c r="O24" s="39"/>
      <c r="P24" s="39"/>
      <c r="Q24" s="39"/>
      <c r="R24" s="39"/>
      <c r="S24" s="39"/>
    </row>
    <row r="25" customFormat="false" ht="15" hidden="false" customHeight="false" outlineLevel="0" collapsed="false">
      <c r="A25" s="39"/>
      <c r="B25" s="39"/>
      <c r="C25" s="39"/>
      <c r="D25" s="39"/>
      <c r="E25" s="39"/>
      <c r="F25" s="39"/>
      <c r="G25" s="39"/>
      <c r="H25" s="39"/>
      <c r="I25" s="40"/>
      <c r="J25" s="40"/>
      <c r="K25" s="40"/>
      <c r="L25" s="39"/>
      <c r="M25" s="39"/>
      <c r="N25" s="39"/>
      <c r="O25" s="39"/>
      <c r="P25" s="39"/>
      <c r="Q25" s="39"/>
      <c r="R25" s="39"/>
      <c r="S25" s="39"/>
    </row>
    <row r="26" customFormat="false" ht="15" hidden="false" customHeight="false" outlineLevel="0" collapsed="false">
      <c r="A26" s="39"/>
      <c r="B26" s="39"/>
      <c r="C26" s="39"/>
      <c r="D26" s="39"/>
      <c r="E26" s="39"/>
      <c r="F26" s="39"/>
      <c r="G26" s="39"/>
      <c r="H26" s="39"/>
      <c r="I26" s="40"/>
      <c r="J26" s="40"/>
      <c r="K26" s="40"/>
      <c r="L26" s="39"/>
      <c r="M26" s="39"/>
      <c r="N26" s="39"/>
      <c r="O26" s="39"/>
      <c r="P26" s="39"/>
      <c r="Q26" s="39"/>
      <c r="R26" s="39"/>
      <c r="S26" s="39"/>
    </row>
    <row r="27" customFormat="false" ht="15" hidden="false" customHeight="false" outlineLevel="0" collapsed="false">
      <c r="A27" s="39"/>
      <c r="B27" s="39"/>
      <c r="C27" s="39"/>
      <c r="D27" s="39"/>
      <c r="E27" s="39"/>
      <c r="F27" s="39"/>
      <c r="G27" s="39"/>
      <c r="H27" s="39"/>
      <c r="I27" s="40"/>
      <c r="J27" s="40"/>
      <c r="K27" s="40"/>
      <c r="L27" s="39"/>
      <c r="M27" s="39"/>
      <c r="N27" s="39"/>
      <c r="O27" s="39"/>
      <c r="P27" s="39"/>
      <c r="Q27" s="39"/>
      <c r="R27" s="39"/>
      <c r="S27" s="39"/>
    </row>
    <row r="28" customFormat="false" ht="15" hidden="false" customHeight="false" outlineLevel="0" collapsed="false">
      <c r="A28" s="39"/>
      <c r="B28" s="39"/>
      <c r="C28" s="39"/>
      <c r="D28" s="39"/>
      <c r="E28" s="39"/>
      <c r="F28" s="39"/>
      <c r="G28" s="39"/>
      <c r="H28" s="39"/>
      <c r="I28" s="40"/>
      <c r="J28" s="40"/>
      <c r="K28" s="40"/>
      <c r="L28" s="39"/>
      <c r="M28" s="39"/>
      <c r="N28" s="39"/>
      <c r="O28" s="39"/>
      <c r="P28" s="39"/>
      <c r="Q28" s="39"/>
      <c r="R28" s="39"/>
      <c r="S28" s="39"/>
    </row>
    <row r="29" customFormat="false" ht="15" hidden="false" customHeight="false" outlineLevel="0" collapsed="false">
      <c r="A29" s="39"/>
      <c r="B29" s="39"/>
      <c r="C29" s="39"/>
      <c r="D29" s="39"/>
      <c r="E29" s="39"/>
      <c r="F29" s="39"/>
      <c r="G29" s="39"/>
      <c r="H29" s="39"/>
      <c r="I29" s="40"/>
      <c r="J29" s="40"/>
      <c r="K29" s="40"/>
      <c r="L29" s="39"/>
      <c r="M29" s="39"/>
      <c r="N29" s="39"/>
      <c r="O29" s="39"/>
      <c r="P29" s="39"/>
      <c r="Q29" s="39"/>
      <c r="R29" s="39"/>
      <c r="S29" s="39"/>
    </row>
    <row r="30" customFormat="false" ht="15" hidden="false" customHeight="false" outlineLevel="0" collapsed="false">
      <c r="A30" s="39"/>
      <c r="B30" s="39"/>
      <c r="C30" s="39"/>
      <c r="D30" s="39"/>
      <c r="E30" s="39"/>
      <c r="F30" s="39"/>
      <c r="G30" s="39"/>
      <c r="H30" s="39"/>
      <c r="I30" s="40"/>
      <c r="J30" s="40"/>
      <c r="K30" s="40"/>
      <c r="L30" s="39"/>
      <c r="M30" s="39"/>
      <c r="N30" s="39"/>
      <c r="O30" s="39"/>
      <c r="P30" s="39"/>
      <c r="Q30" s="39"/>
      <c r="R30" s="39"/>
      <c r="S30" s="39"/>
    </row>
    <row r="31" customFormat="false" ht="15" hidden="false" customHeight="false" outlineLevel="0" collapsed="false">
      <c r="A31" s="39"/>
      <c r="B31" s="39"/>
      <c r="C31" s="39"/>
      <c r="D31" s="39"/>
      <c r="E31" s="39"/>
      <c r="F31" s="39"/>
      <c r="G31" s="39"/>
      <c r="H31" s="39"/>
      <c r="I31" s="40"/>
      <c r="J31" s="40"/>
      <c r="K31" s="40"/>
      <c r="L31" s="39"/>
      <c r="M31" s="39"/>
      <c r="N31" s="39"/>
      <c r="O31" s="39"/>
      <c r="P31" s="39"/>
      <c r="Q31" s="39"/>
      <c r="R31" s="39"/>
      <c r="S31" s="39"/>
    </row>
    <row r="32" customFormat="false" ht="15" hidden="false" customHeight="false" outlineLevel="0" collapsed="false">
      <c r="A32" s="39"/>
      <c r="B32" s="39"/>
      <c r="C32" s="39"/>
      <c r="D32" s="39"/>
      <c r="E32" s="39"/>
      <c r="F32" s="39"/>
      <c r="G32" s="39"/>
      <c r="H32" s="39"/>
      <c r="I32" s="40"/>
      <c r="J32" s="40"/>
      <c r="K32" s="40"/>
      <c r="L32" s="39"/>
      <c r="M32" s="39"/>
      <c r="N32" s="39"/>
      <c r="O32" s="39"/>
      <c r="P32" s="39"/>
      <c r="Q32" s="39"/>
      <c r="R32" s="39"/>
      <c r="S32" s="39"/>
    </row>
    <row r="33" customFormat="false" ht="15" hidden="false" customHeight="false" outlineLevel="0" collapsed="false">
      <c r="A33" s="39"/>
      <c r="B33" s="39"/>
      <c r="C33" s="39"/>
      <c r="D33" s="39"/>
      <c r="E33" s="39"/>
      <c r="F33" s="39"/>
      <c r="G33" s="39"/>
      <c r="H33" s="39"/>
      <c r="I33" s="40"/>
      <c r="J33" s="40"/>
      <c r="K33" s="40"/>
      <c r="L33" s="39"/>
      <c r="M33" s="39"/>
      <c r="N33" s="39"/>
      <c r="O33" s="39"/>
      <c r="P33" s="39"/>
      <c r="Q33" s="39"/>
      <c r="R33" s="39"/>
      <c r="S33" s="39"/>
    </row>
    <row r="34" customFormat="false" ht="15" hidden="false" customHeight="false" outlineLevel="0" collapsed="false">
      <c r="A34" s="39"/>
      <c r="B34" s="39"/>
      <c r="C34" s="39"/>
      <c r="D34" s="39"/>
      <c r="E34" s="39"/>
      <c r="F34" s="39"/>
      <c r="G34" s="39"/>
      <c r="H34" s="39"/>
      <c r="I34" s="40"/>
      <c r="J34" s="40"/>
      <c r="K34" s="40"/>
      <c r="L34" s="39"/>
      <c r="M34" s="39"/>
      <c r="N34" s="39"/>
      <c r="O34" s="39"/>
      <c r="P34" s="39"/>
      <c r="Q34" s="39"/>
      <c r="R34" s="39"/>
      <c r="S34" s="39"/>
    </row>
    <row r="35" customFormat="false" ht="15" hidden="false" customHeight="false" outlineLevel="0" collapsed="false">
      <c r="A35" s="39"/>
      <c r="B35" s="39"/>
      <c r="C35" s="39"/>
      <c r="D35" s="39"/>
      <c r="E35" s="39"/>
      <c r="F35" s="39"/>
      <c r="G35" s="39"/>
      <c r="H35" s="39"/>
      <c r="I35" s="40"/>
      <c r="J35" s="40"/>
      <c r="K35" s="40"/>
      <c r="L35" s="39"/>
      <c r="M35" s="39"/>
      <c r="N35" s="39"/>
      <c r="O35" s="39"/>
      <c r="P35" s="39"/>
      <c r="Q35" s="39"/>
      <c r="R35" s="39"/>
      <c r="S35" s="39"/>
    </row>
    <row r="36" customFormat="false" ht="15" hidden="false" customHeight="false" outlineLevel="0" collapsed="false">
      <c r="A36" s="39"/>
      <c r="B36" s="39"/>
      <c r="C36" s="39"/>
      <c r="D36" s="39"/>
      <c r="E36" s="39"/>
      <c r="F36" s="39"/>
      <c r="G36" s="39"/>
      <c r="H36" s="39"/>
      <c r="I36" s="40"/>
      <c r="J36" s="40"/>
      <c r="K36" s="40"/>
      <c r="L36" s="39"/>
      <c r="M36" s="39"/>
      <c r="N36" s="39"/>
      <c r="O36" s="39"/>
      <c r="P36" s="39"/>
      <c r="Q36" s="39"/>
      <c r="R36" s="39"/>
      <c r="S36" s="39"/>
    </row>
    <row r="37" customFormat="false" ht="15" hidden="false" customHeight="false" outlineLevel="0" collapsed="false">
      <c r="A37" s="39"/>
      <c r="B37" s="39"/>
      <c r="C37" s="39"/>
      <c r="D37" s="39"/>
      <c r="E37" s="39"/>
      <c r="F37" s="39"/>
      <c r="G37" s="39"/>
      <c r="H37" s="39"/>
      <c r="I37" s="40"/>
      <c r="J37" s="40"/>
      <c r="K37" s="40"/>
      <c r="L37" s="39"/>
      <c r="M37" s="39"/>
      <c r="N37" s="39"/>
      <c r="O37" s="39"/>
      <c r="P37" s="39"/>
      <c r="Q37" s="39"/>
      <c r="R37" s="39"/>
      <c r="S37" s="39"/>
    </row>
    <row r="38" customFormat="false" ht="15" hidden="false" customHeight="false" outlineLevel="0" collapsed="false">
      <c r="A38" s="39"/>
      <c r="B38" s="39"/>
      <c r="C38" s="39"/>
      <c r="D38" s="39"/>
      <c r="E38" s="39"/>
      <c r="F38" s="39"/>
      <c r="G38" s="39"/>
      <c r="H38" s="39"/>
      <c r="I38" s="40"/>
      <c r="J38" s="40"/>
      <c r="K38" s="40"/>
      <c r="L38" s="39"/>
      <c r="M38" s="39"/>
      <c r="N38" s="39"/>
      <c r="O38" s="39"/>
      <c r="P38" s="39"/>
      <c r="Q38" s="39"/>
      <c r="R38" s="39"/>
      <c r="S38" s="39"/>
    </row>
    <row r="39" customFormat="false" ht="15" hidden="false" customHeight="false" outlineLevel="0" collapsed="false">
      <c r="A39" s="39"/>
      <c r="B39" s="39"/>
      <c r="C39" s="39"/>
      <c r="D39" s="39"/>
      <c r="E39" s="39"/>
      <c r="F39" s="39"/>
      <c r="G39" s="39"/>
      <c r="H39" s="39"/>
      <c r="I39" s="40"/>
      <c r="J39" s="40"/>
      <c r="K39" s="40"/>
      <c r="L39" s="39"/>
      <c r="M39" s="39"/>
      <c r="N39" s="39"/>
      <c r="O39" s="39"/>
      <c r="P39" s="39"/>
      <c r="Q39" s="39"/>
      <c r="R39" s="39"/>
      <c r="S39" s="39"/>
    </row>
    <row r="40" customFormat="false" ht="15" hidden="false" customHeight="false" outlineLevel="0" collapsed="false">
      <c r="A40" s="39"/>
      <c r="B40" s="39"/>
      <c r="C40" s="39"/>
      <c r="D40" s="39"/>
      <c r="E40" s="39"/>
      <c r="F40" s="39"/>
      <c r="G40" s="39"/>
      <c r="H40" s="39"/>
      <c r="I40" s="40"/>
      <c r="J40" s="40"/>
      <c r="K40" s="40"/>
      <c r="L40" s="39"/>
      <c r="M40" s="39"/>
      <c r="N40" s="39"/>
      <c r="O40" s="39"/>
      <c r="P40" s="39"/>
      <c r="Q40" s="39"/>
      <c r="R40" s="39"/>
      <c r="S40" s="39"/>
    </row>
    <row r="41" customFormat="false" ht="15" hidden="false" customHeight="false" outlineLevel="0" collapsed="false">
      <c r="A41" s="39"/>
      <c r="B41" s="39"/>
      <c r="C41" s="39"/>
      <c r="D41" s="39"/>
      <c r="E41" s="39"/>
      <c r="F41" s="39"/>
      <c r="G41" s="39"/>
      <c r="H41" s="39"/>
      <c r="I41" s="40"/>
      <c r="J41" s="40"/>
      <c r="K41" s="40"/>
      <c r="L41" s="39"/>
      <c r="M41" s="39"/>
      <c r="N41" s="39"/>
      <c r="O41" s="39"/>
      <c r="P41" s="39"/>
      <c r="Q41" s="39"/>
      <c r="R41" s="39"/>
      <c r="S41" s="39"/>
    </row>
    <row r="42" customFormat="false" ht="15" hidden="false" customHeight="false" outlineLevel="0" collapsed="false">
      <c r="A42" s="39"/>
      <c r="B42" s="39"/>
      <c r="C42" s="39"/>
      <c r="D42" s="39"/>
      <c r="E42" s="39"/>
      <c r="F42" s="39"/>
      <c r="G42" s="39"/>
      <c r="H42" s="39"/>
      <c r="I42" s="40"/>
      <c r="J42" s="40"/>
      <c r="K42" s="40"/>
      <c r="L42" s="39"/>
      <c r="M42" s="39"/>
      <c r="N42" s="39"/>
      <c r="O42" s="39"/>
      <c r="P42" s="39"/>
      <c r="Q42" s="39"/>
      <c r="R42" s="39"/>
      <c r="S42" s="39"/>
    </row>
    <row r="43" customFormat="false" ht="15" hidden="false" customHeight="false" outlineLevel="0" collapsed="false">
      <c r="A43" s="39"/>
      <c r="B43" s="39"/>
      <c r="C43" s="39"/>
      <c r="D43" s="39"/>
      <c r="E43" s="39"/>
      <c r="F43" s="39"/>
      <c r="G43" s="39"/>
      <c r="H43" s="39"/>
      <c r="I43" s="40"/>
      <c r="J43" s="40"/>
      <c r="K43" s="40"/>
      <c r="L43" s="39"/>
      <c r="M43" s="39"/>
      <c r="N43" s="39"/>
      <c r="O43" s="39"/>
      <c r="P43" s="39"/>
      <c r="Q43" s="39"/>
      <c r="R43" s="39"/>
      <c r="S43" s="39"/>
    </row>
    <row r="44" customFormat="false" ht="15" hidden="false" customHeight="false" outlineLevel="0" collapsed="false">
      <c r="A44" s="39"/>
      <c r="B44" s="39"/>
      <c r="C44" s="39"/>
      <c r="D44" s="39"/>
      <c r="E44" s="39"/>
      <c r="F44" s="39"/>
      <c r="G44" s="39"/>
      <c r="H44" s="39"/>
      <c r="I44" s="40"/>
      <c r="J44" s="40"/>
      <c r="K44" s="40"/>
      <c r="L44" s="39"/>
      <c r="M44" s="39"/>
      <c r="N44" s="39"/>
      <c r="O44" s="39"/>
      <c r="P44" s="39"/>
      <c r="Q44" s="39"/>
      <c r="R44" s="39"/>
      <c r="S44" s="39"/>
    </row>
    <row r="45" customFormat="false" ht="15" hidden="false" customHeight="false" outlineLevel="0" collapsed="false">
      <c r="A45" s="39"/>
      <c r="B45" s="39"/>
      <c r="C45" s="39"/>
      <c r="D45" s="39"/>
      <c r="E45" s="39"/>
      <c r="F45" s="39"/>
      <c r="G45" s="39"/>
      <c r="H45" s="39"/>
      <c r="I45" s="40"/>
      <c r="J45" s="40"/>
      <c r="K45" s="40"/>
      <c r="L45" s="39"/>
      <c r="M45" s="39"/>
      <c r="N45" s="39"/>
      <c r="O45" s="39"/>
      <c r="P45" s="39"/>
      <c r="Q45" s="39"/>
      <c r="R45" s="39"/>
      <c r="S45" s="39"/>
    </row>
    <row r="46" customFormat="false" ht="15" hidden="false" customHeight="false" outlineLevel="0" collapsed="false">
      <c r="A46" s="39"/>
      <c r="B46" s="39"/>
      <c r="C46" s="39"/>
      <c r="D46" s="39"/>
      <c r="E46" s="39"/>
      <c r="F46" s="39"/>
      <c r="G46" s="39"/>
      <c r="H46" s="39"/>
      <c r="I46" s="40"/>
      <c r="J46" s="40"/>
      <c r="K46" s="40"/>
      <c r="L46" s="39"/>
      <c r="M46" s="39"/>
      <c r="N46" s="39"/>
      <c r="O46" s="39"/>
      <c r="P46" s="39"/>
      <c r="Q46" s="39"/>
      <c r="R46" s="39"/>
      <c r="S46" s="39"/>
    </row>
    <row r="47" customFormat="false" ht="15" hidden="false" customHeight="false" outlineLevel="0" collapsed="false">
      <c r="A47" s="39"/>
      <c r="B47" s="39"/>
      <c r="C47" s="39"/>
      <c r="D47" s="39"/>
      <c r="E47" s="39"/>
      <c r="F47" s="39"/>
      <c r="G47" s="39"/>
      <c r="H47" s="39"/>
      <c r="I47" s="40"/>
      <c r="J47" s="40"/>
      <c r="K47" s="40"/>
      <c r="L47" s="39"/>
      <c r="M47" s="39"/>
      <c r="N47" s="39"/>
      <c r="O47" s="39"/>
      <c r="P47" s="39"/>
      <c r="Q47" s="39"/>
      <c r="R47" s="39"/>
      <c r="S47" s="39"/>
    </row>
    <row r="48" customFormat="false" ht="15" hidden="false" customHeight="false" outlineLevel="0" collapsed="false">
      <c r="A48" s="39"/>
      <c r="B48" s="39"/>
      <c r="C48" s="39"/>
      <c r="D48" s="39"/>
      <c r="E48" s="39"/>
      <c r="F48" s="39"/>
      <c r="G48" s="39"/>
      <c r="H48" s="39"/>
      <c r="I48" s="40"/>
      <c r="J48" s="40"/>
      <c r="K48" s="40"/>
      <c r="L48" s="39"/>
      <c r="M48" s="39"/>
      <c r="N48" s="39"/>
      <c r="O48" s="39"/>
      <c r="P48" s="39"/>
      <c r="Q48" s="39"/>
      <c r="R48" s="39"/>
      <c r="S48" s="39"/>
    </row>
    <row r="49" customFormat="false" ht="15" hidden="false" customHeight="false" outlineLevel="0" collapsed="false">
      <c r="A49" s="39"/>
      <c r="B49" s="39"/>
      <c r="C49" s="39"/>
      <c r="D49" s="39"/>
      <c r="E49" s="39"/>
      <c r="F49" s="39"/>
      <c r="G49" s="39"/>
      <c r="H49" s="39"/>
      <c r="I49" s="40"/>
      <c r="J49" s="40"/>
      <c r="K49" s="40"/>
      <c r="L49" s="39"/>
      <c r="M49" s="39"/>
      <c r="N49" s="39"/>
      <c r="O49" s="39"/>
      <c r="P49" s="39"/>
      <c r="Q49" s="39"/>
      <c r="R49" s="39"/>
      <c r="S49" s="39"/>
    </row>
    <row r="50" customFormat="false" ht="15" hidden="false" customHeight="false" outlineLevel="0" collapsed="false">
      <c r="A50" s="39"/>
      <c r="B50" s="39"/>
      <c r="C50" s="39"/>
      <c r="D50" s="39"/>
      <c r="E50" s="39"/>
      <c r="F50" s="39"/>
      <c r="G50" s="39"/>
      <c r="H50" s="39"/>
      <c r="I50" s="40"/>
      <c r="J50" s="40"/>
      <c r="K50" s="40"/>
      <c r="L50" s="39"/>
      <c r="M50" s="39"/>
      <c r="N50" s="39"/>
      <c r="O50" s="39"/>
      <c r="P50" s="39"/>
      <c r="Q50" s="39"/>
      <c r="R50" s="39"/>
      <c r="S50" s="39"/>
    </row>
    <row r="51" customFormat="false" ht="15" hidden="false" customHeight="false" outlineLevel="0" collapsed="false">
      <c r="A51" s="39"/>
      <c r="B51" s="39"/>
      <c r="C51" s="39"/>
      <c r="D51" s="39"/>
      <c r="E51" s="39"/>
      <c r="F51" s="39"/>
      <c r="G51" s="39"/>
      <c r="H51" s="39"/>
      <c r="I51" s="40"/>
      <c r="J51" s="40"/>
      <c r="K51" s="40"/>
      <c r="L51" s="39"/>
      <c r="M51" s="39"/>
      <c r="N51" s="39"/>
      <c r="O51" s="39"/>
      <c r="P51" s="39"/>
      <c r="Q51" s="39"/>
      <c r="R51" s="39"/>
      <c r="S51" s="39"/>
    </row>
    <row r="52" customFormat="false" ht="15" hidden="false" customHeight="false" outlineLevel="0" collapsed="false">
      <c r="A52" s="39"/>
      <c r="B52" s="39"/>
      <c r="C52" s="39"/>
      <c r="D52" s="39"/>
      <c r="E52" s="39"/>
      <c r="F52" s="39"/>
      <c r="G52" s="39"/>
      <c r="H52" s="39"/>
      <c r="I52" s="40"/>
      <c r="J52" s="40"/>
      <c r="K52" s="40"/>
      <c r="L52" s="39"/>
      <c r="M52" s="39"/>
      <c r="N52" s="39"/>
      <c r="O52" s="39"/>
      <c r="P52" s="39"/>
      <c r="Q52" s="39"/>
      <c r="R52" s="39"/>
      <c r="S52" s="39"/>
    </row>
    <row r="53" customFormat="false" ht="15" hidden="false" customHeight="false" outlineLevel="0" collapsed="false">
      <c r="A53" s="39"/>
      <c r="B53" s="39"/>
      <c r="C53" s="39"/>
      <c r="D53" s="39"/>
      <c r="E53" s="39"/>
      <c r="F53" s="39"/>
      <c r="G53" s="39"/>
      <c r="H53" s="39"/>
      <c r="I53" s="40"/>
      <c r="J53" s="40"/>
      <c r="K53" s="40"/>
      <c r="L53" s="39"/>
      <c r="M53" s="39"/>
      <c r="N53" s="39"/>
      <c r="O53" s="39"/>
      <c r="P53" s="39"/>
      <c r="Q53" s="39"/>
      <c r="R53" s="39"/>
      <c r="S53" s="39"/>
    </row>
    <row r="54" customFormat="false" ht="15" hidden="false" customHeight="false" outlineLevel="0" collapsed="false">
      <c r="A54" s="39"/>
      <c r="B54" s="39"/>
      <c r="C54" s="39"/>
      <c r="D54" s="39"/>
      <c r="E54" s="39"/>
      <c r="F54" s="39"/>
      <c r="G54" s="39"/>
      <c r="H54" s="39"/>
      <c r="I54" s="40"/>
      <c r="J54" s="40"/>
      <c r="K54" s="40"/>
      <c r="L54" s="39"/>
      <c r="M54" s="39"/>
      <c r="N54" s="39"/>
      <c r="O54" s="39"/>
      <c r="P54" s="39"/>
      <c r="Q54" s="39"/>
      <c r="R54" s="39"/>
      <c r="S54" s="39"/>
    </row>
    <row r="55" customFormat="false" ht="15" hidden="false" customHeight="false" outlineLevel="0" collapsed="false">
      <c r="A55" s="39"/>
      <c r="B55" s="39"/>
      <c r="C55" s="39"/>
      <c r="D55" s="39"/>
      <c r="E55" s="39"/>
      <c r="F55" s="39"/>
      <c r="G55" s="39"/>
      <c r="H55" s="39"/>
      <c r="I55" s="40"/>
      <c r="J55" s="40"/>
      <c r="K55" s="40"/>
      <c r="L55" s="39"/>
      <c r="M55" s="39"/>
      <c r="N55" s="39"/>
      <c r="O55" s="39"/>
      <c r="P55" s="39"/>
      <c r="Q55" s="39"/>
      <c r="R55" s="39"/>
      <c r="S55" s="39"/>
    </row>
    <row r="56" customFormat="false" ht="15" hidden="false" customHeight="false" outlineLevel="0" collapsed="false">
      <c r="A56" s="39"/>
      <c r="B56" s="39"/>
      <c r="C56" s="39"/>
      <c r="D56" s="39"/>
      <c r="E56" s="39"/>
      <c r="F56" s="39"/>
      <c r="G56" s="39"/>
      <c r="H56" s="39"/>
      <c r="I56" s="40"/>
      <c r="J56" s="40"/>
      <c r="K56" s="40"/>
      <c r="L56" s="39"/>
      <c r="M56" s="39"/>
      <c r="N56" s="39"/>
      <c r="O56" s="39"/>
      <c r="P56" s="39"/>
      <c r="Q56" s="39"/>
      <c r="R56" s="39"/>
      <c r="S56" s="39"/>
    </row>
    <row r="57" customFormat="false" ht="15" hidden="false" customHeight="false" outlineLevel="0" collapsed="false">
      <c r="A57" s="39"/>
      <c r="B57" s="39"/>
      <c r="C57" s="39"/>
      <c r="D57" s="39"/>
      <c r="E57" s="39"/>
      <c r="F57" s="39"/>
      <c r="G57" s="39"/>
      <c r="H57" s="39"/>
      <c r="I57" s="40"/>
      <c r="J57" s="40"/>
      <c r="K57" s="40"/>
      <c r="L57" s="39"/>
      <c r="M57" s="39"/>
      <c r="N57" s="39"/>
      <c r="O57" s="39"/>
      <c r="P57" s="39"/>
      <c r="Q57" s="39"/>
      <c r="R57" s="39"/>
      <c r="S57" s="39"/>
    </row>
    <row r="58" customFormat="false" ht="15" hidden="false" customHeight="false" outlineLevel="0" collapsed="false">
      <c r="A58" s="39"/>
      <c r="B58" s="39"/>
      <c r="C58" s="39"/>
      <c r="D58" s="39"/>
      <c r="E58" s="39"/>
      <c r="F58" s="39"/>
      <c r="G58" s="39"/>
      <c r="H58" s="39"/>
      <c r="I58" s="40"/>
      <c r="J58" s="40"/>
      <c r="K58" s="40"/>
      <c r="L58" s="39"/>
      <c r="M58" s="39"/>
      <c r="N58" s="39"/>
      <c r="O58" s="39"/>
      <c r="P58" s="39"/>
      <c r="Q58" s="39"/>
      <c r="R58" s="39"/>
      <c r="S58" s="39"/>
    </row>
    <row r="59" customFormat="false" ht="15" hidden="false" customHeight="false" outlineLevel="0" collapsed="false">
      <c r="A59" s="39"/>
      <c r="B59" s="39"/>
      <c r="C59" s="39"/>
      <c r="D59" s="39"/>
      <c r="E59" s="39"/>
      <c r="F59" s="39"/>
      <c r="G59" s="39"/>
      <c r="H59" s="39"/>
      <c r="I59" s="40"/>
      <c r="J59" s="40"/>
      <c r="K59" s="40"/>
      <c r="L59" s="39"/>
      <c r="M59" s="39"/>
      <c r="N59" s="39"/>
      <c r="O59" s="39"/>
      <c r="P59" s="39"/>
      <c r="Q59" s="39"/>
      <c r="R59" s="39"/>
      <c r="S59" s="39"/>
    </row>
    <row r="60" customFormat="false" ht="15" hidden="false" customHeight="false" outlineLevel="0" collapsed="false">
      <c r="A60" s="39"/>
      <c r="B60" s="39"/>
      <c r="C60" s="39"/>
      <c r="D60" s="39"/>
      <c r="E60" s="39"/>
      <c r="F60" s="39"/>
      <c r="G60" s="39"/>
      <c r="H60" s="39"/>
      <c r="I60" s="40"/>
      <c r="J60" s="40"/>
      <c r="K60" s="40"/>
      <c r="L60" s="39"/>
      <c r="M60" s="39"/>
      <c r="N60" s="39"/>
      <c r="O60" s="39"/>
      <c r="P60" s="39"/>
      <c r="Q60" s="39"/>
      <c r="R60" s="39"/>
      <c r="S60" s="39"/>
    </row>
    <row r="61" customFormat="false" ht="15" hidden="false" customHeight="false" outlineLevel="0" collapsed="false">
      <c r="A61" s="39"/>
      <c r="B61" s="39"/>
      <c r="C61" s="39"/>
      <c r="D61" s="39"/>
      <c r="E61" s="39"/>
      <c r="F61" s="39"/>
      <c r="G61" s="39"/>
      <c r="H61" s="39"/>
      <c r="I61" s="40"/>
      <c r="J61" s="40"/>
      <c r="K61" s="40"/>
      <c r="L61" s="39"/>
      <c r="M61" s="39"/>
      <c r="N61" s="39"/>
      <c r="O61" s="39"/>
      <c r="P61" s="39"/>
      <c r="Q61" s="39"/>
      <c r="R61" s="39"/>
      <c r="S61" s="39"/>
    </row>
    <row r="62" customFormat="false" ht="15" hidden="false" customHeight="false" outlineLevel="0" collapsed="false">
      <c r="A62" s="39"/>
      <c r="B62" s="39"/>
      <c r="C62" s="39"/>
      <c r="D62" s="39"/>
      <c r="E62" s="39"/>
      <c r="F62" s="39"/>
      <c r="G62" s="39"/>
      <c r="H62" s="39"/>
      <c r="I62" s="40"/>
      <c r="J62" s="40"/>
      <c r="K62" s="40"/>
      <c r="L62" s="39"/>
      <c r="M62" s="39"/>
      <c r="N62" s="39"/>
      <c r="O62" s="39"/>
      <c r="P62" s="39"/>
      <c r="Q62" s="39"/>
      <c r="R62" s="39"/>
      <c r="S62" s="39"/>
    </row>
    <row r="63" customFormat="false" ht="15" hidden="false" customHeight="false" outlineLevel="0" collapsed="false">
      <c r="A63" s="39"/>
      <c r="B63" s="39"/>
      <c r="C63" s="39"/>
      <c r="D63" s="39"/>
      <c r="E63" s="39"/>
      <c r="F63" s="39"/>
      <c r="G63" s="39"/>
      <c r="H63" s="39"/>
      <c r="I63" s="40"/>
      <c r="J63" s="40"/>
      <c r="K63" s="40"/>
      <c r="L63" s="39"/>
      <c r="M63" s="39"/>
      <c r="N63" s="39"/>
      <c r="O63" s="39"/>
      <c r="P63" s="39"/>
      <c r="Q63" s="39"/>
      <c r="R63" s="39"/>
      <c r="S63" s="39"/>
    </row>
    <row r="64" customFormat="false" ht="15" hidden="false" customHeight="false" outlineLevel="0" collapsed="false">
      <c r="A64" s="39"/>
      <c r="B64" s="39"/>
      <c r="C64" s="39"/>
      <c r="D64" s="39"/>
      <c r="E64" s="39"/>
      <c r="F64" s="39"/>
      <c r="G64" s="39"/>
      <c r="H64" s="39"/>
      <c r="I64" s="40"/>
      <c r="J64" s="40"/>
      <c r="K64" s="40"/>
      <c r="L64" s="39"/>
      <c r="M64" s="39"/>
      <c r="N64" s="39"/>
      <c r="O64" s="39"/>
      <c r="P64" s="39"/>
      <c r="Q64" s="39"/>
      <c r="R64" s="39"/>
      <c r="S64" s="39"/>
    </row>
    <row r="65" customFormat="false" ht="15" hidden="false" customHeight="false" outlineLevel="0" collapsed="false">
      <c r="A65" s="39"/>
      <c r="B65" s="39"/>
      <c r="C65" s="39"/>
      <c r="D65" s="39"/>
      <c r="E65" s="39"/>
      <c r="F65" s="39"/>
      <c r="G65" s="39"/>
      <c r="H65" s="39"/>
      <c r="I65" s="40"/>
      <c r="J65" s="40"/>
      <c r="K65" s="40"/>
      <c r="L65" s="39"/>
      <c r="M65" s="39"/>
      <c r="N65" s="39"/>
      <c r="O65" s="39"/>
      <c r="P65" s="39"/>
      <c r="Q65" s="39"/>
      <c r="R65" s="39"/>
      <c r="S65" s="39"/>
    </row>
    <row r="66" customFormat="false" ht="15" hidden="false" customHeight="false" outlineLevel="0" collapsed="false">
      <c r="A66" s="39"/>
      <c r="B66" s="39"/>
      <c r="C66" s="39"/>
      <c r="D66" s="39"/>
      <c r="E66" s="39"/>
      <c r="F66" s="39"/>
      <c r="G66" s="39"/>
      <c r="H66" s="39"/>
      <c r="I66" s="40"/>
      <c r="J66" s="40"/>
      <c r="K66" s="40"/>
      <c r="L66" s="39"/>
      <c r="M66" s="39"/>
      <c r="N66" s="39"/>
      <c r="O66" s="39"/>
      <c r="P66" s="39"/>
      <c r="Q66" s="39"/>
      <c r="R66" s="39"/>
      <c r="S66" s="39"/>
    </row>
    <row r="67" customFormat="false" ht="15" hidden="false" customHeight="false" outlineLevel="0" collapsed="false">
      <c r="A67" s="39"/>
      <c r="B67" s="39"/>
      <c r="C67" s="39"/>
      <c r="D67" s="39"/>
      <c r="E67" s="39"/>
      <c r="F67" s="39"/>
      <c r="G67" s="39"/>
      <c r="H67" s="39"/>
      <c r="I67" s="40"/>
      <c r="J67" s="40"/>
      <c r="K67" s="40"/>
      <c r="L67" s="39"/>
      <c r="M67" s="39"/>
      <c r="N67" s="39"/>
      <c r="O67" s="39"/>
      <c r="P67" s="39"/>
      <c r="Q67" s="39"/>
      <c r="R67" s="39"/>
      <c r="S67" s="39"/>
    </row>
    <row r="68" customFormat="false" ht="15" hidden="false" customHeight="false" outlineLevel="0" collapsed="false">
      <c r="A68" s="39"/>
      <c r="B68" s="39"/>
      <c r="C68" s="39"/>
      <c r="D68" s="39"/>
      <c r="E68" s="39"/>
      <c r="F68" s="39"/>
      <c r="G68" s="39"/>
      <c r="H68" s="39"/>
      <c r="I68" s="40"/>
      <c r="J68" s="40"/>
      <c r="K68" s="40"/>
      <c r="L68" s="39"/>
      <c r="M68" s="39"/>
      <c r="N68" s="39"/>
      <c r="O68" s="39"/>
      <c r="P68" s="39"/>
      <c r="Q68" s="39"/>
      <c r="R68" s="39"/>
      <c r="S68" s="39"/>
    </row>
    <row r="69" customFormat="false" ht="15" hidden="false" customHeight="false" outlineLevel="0" collapsed="false">
      <c r="A69" s="39"/>
      <c r="B69" s="39"/>
      <c r="C69" s="39"/>
      <c r="D69" s="39"/>
      <c r="E69" s="39"/>
      <c r="F69" s="39"/>
      <c r="G69" s="39"/>
      <c r="H69" s="39"/>
      <c r="I69" s="40"/>
      <c r="J69" s="40"/>
      <c r="K69" s="40"/>
      <c r="L69" s="39"/>
      <c r="M69" s="39"/>
      <c r="N69" s="39"/>
      <c r="O69" s="39"/>
      <c r="P69" s="39"/>
      <c r="Q69" s="39"/>
      <c r="R69" s="39"/>
      <c r="S69" s="39"/>
    </row>
    <row r="70" customFormat="false" ht="15" hidden="false" customHeight="false" outlineLevel="0" collapsed="false">
      <c r="A70" s="39"/>
      <c r="B70" s="39"/>
      <c r="C70" s="39"/>
      <c r="D70" s="39"/>
      <c r="E70" s="39"/>
      <c r="F70" s="39"/>
      <c r="G70" s="39"/>
      <c r="H70" s="39"/>
      <c r="I70" s="40"/>
      <c r="J70" s="40"/>
      <c r="K70" s="40"/>
      <c r="L70" s="39"/>
      <c r="M70" s="39"/>
      <c r="N70" s="39"/>
      <c r="O70" s="39"/>
      <c r="P70" s="39"/>
      <c r="Q70" s="39"/>
      <c r="R70" s="39"/>
      <c r="S70" s="39"/>
    </row>
    <row r="71" customFormat="false" ht="15" hidden="false" customHeight="false" outlineLevel="0" collapsed="false">
      <c r="A71" s="39"/>
      <c r="B71" s="39"/>
      <c r="C71" s="39"/>
      <c r="D71" s="39"/>
      <c r="E71" s="39"/>
      <c r="F71" s="39"/>
      <c r="G71" s="39"/>
      <c r="H71" s="39"/>
      <c r="I71" s="40"/>
      <c r="J71" s="40"/>
      <c r="K71" s="40"/>
      <c r="L71" s="39"/>
      <c r="M71" s="39"/>
      <c r="N71" s="39"/>
      <c r="O71" s="39"/>
      <c r="P71" s="39"/>
      <c r="Q71" s="39"/>
      <c r="R71" s="39"/>
      <c r="S71" s="39"/>
    </row>
    <row r="72" customFormat="false" ht="15" hidden="false" customHeight="false" outlineLevel="0" collapsed="false">
      <c r="A72" s="39"/>
      <c r="B72" s="39"/>
      <c r="C72" s="39"/>
      <c r="D72" s="39"/>
      <c r="E72" s="39"/>
      <c r="F72" s="39"/>
      <c r="G72" s="39"/>
      <c r="H72" s="39"/>
      <c r="I72" s="40"/>
      <c r="J72" s="40"/>
      <c r="K72" s="40"/>
      <c r="L72" s="39"/>
      <c r="M72" s="39"/>
      <c r="N72" s="39"/>
      <c r="O72" s="39"/>
      <c r="P72" s="39"/>
      <c r="Q72" s="39"/>
      <c r="R72" s="39"/>
      <c r="S72" s="39"/>
    </row>
    <row r="73" customFormat="false" ht="15" hidden="false" customHeight="false" outlineLevel="0" collapsed="false">
      <c r="A73" s="39"/>
      <c r="B73" s="39"/>
      <c r="C73" s="39"/>
      <c r="D73" s="39"/>
      <c r="E73" s="39"/>
      <c r="F73" s="39"/>
      <c r="G73" s="39"/>
      <c r="H73" s="39"/>
      <c r="I73" s="40"/>
      <c r="J73" s="40"/>
      <c r="K73" s="40"/>
      <c r="L73" s="39"/>
      <c r="M73" s="39"/>
      <c r="N73" s="39"/>
      <c r="O73" s="39"/>
      <c r="P73" s="39"/>
      <c r="Q73" s="39"/>
      <c r="R73" s="39"/>
      <c r="S73" s="39"/>
    </row>
    <row r="74" customFormat="false" ht="15" hidden="false" customHeight="false" outlineLevel="0" collapsed="false">
      <c r="A74" s="39"/>
      <c r="B74" s="39"/>
      <c r="C74" s="39"/>
      <c r="D74" s="39"/>
      <c r="E74" s="39"/>
      <c r="F74" s="39"/>
      <c r="G74" s="39"/>
      <c r="H74" s="39"/>
      <c r="I74" s="40"/>
      <c r="J74" s="40"/>
      <c r="K74" s="40"/>
      <c r="L74" s="39"/>
      <c r="M74" s="39"/>
      <c r="N74" s="39"/>
      <c r="O74" s="39"/>
      <c r="P74" s="39"/>
      <c r="Q74" s="39"/>
      <c r="R74" s="39"/>
      <c r="S74" s="39"/>
    </row>
    <row r="75" customFormat="false" ht="15" hidden="false" customHeight="false" outlineLevel="0" collapsed="false">
      <c r="A75" s="39"/>
      <c r="B75" s="39"/>
      <c r="C75" s="39"/>
      <c r="D75" s="39"/>
      <c r="E75" s="39"/>
      <c r="F75" s="39"/>
      <c r="G75" s="39"/>
      <c r="H75" s="39"/>
      <c r="I75" s="40"/>
      <c r="J75" s="40"/>
      <c r="K75" s="40"/>
      <c r="L75" s="39"/>
      <c r="M75" s="39"/>
      <c r="N75" s="39"/>
      <c r="O75" s="39"/>
      <c r="P75" s="39"/>
      <c r="Q75" s="39"/>
      <c r="R75" s="39"/>
      <c r="S75" s="39"/>
    </row>
    <row r="76" customFormat="false" ht="15" hidden="false" customHeight="false" outlineLevel="0" collapsed="false">
      <c r="A76" s="39"/>
      <c r="B76" s="39"/>
      <c r="C76" s="39"/>
      <c r="D76" s="39"/>
      <c r="E76" s="39"/>
      <c r="F76" s="39"/>
      <c r="G76" s="39"/>
      <c r="H76" s="39"/>
      <c r="I76" s="40"/>
      <c r="J76" s="40"/>
      <c r="K76" s="40"/>
      <c r="L76" s="39"/>
      <c r="M76" s="39"/>
      <c r="N76" s="39"/>
      <c r="O76" s="39"/>
      <c r="P76" s="39"/>
      <c r="Q76" s="39"/>
      <c r="R76" s="39"/>
      <c r="S76" s="39"/>
    </row>
    <row r="77" customFormat="false" ht="15" hidden="false" customHeight="false" outlineLevel="0" collapsed="false">
      <c r="A77" s="39"/>
      <c r="B77" s="39"/>
      <c r="C77" s="39"/>
      <c r="D77" s="39"/>
      <c r="E77" s="39"/>
      <c r="F77" s="39"/>
      <c r="G77" s="39"/>
      <c r="H77" s="39"/>
      <c r="I77" s="40"/>
      <c r="J77" s="40"/>
      <c r="K77" s="40"/>
      <c r="L77" s="39"/>
      <c r="M77" s="39"/>
      <c r="N77" s="39"/>
      <c r="O77" s="39"/>
      <c r="P77" s="39"/>
      <c r="Q77" s="39"/>
      <c r="R77" s="39"/>
      <c r="S77" s="39"/>
    </row>
    <row r="78" customFormat="false" ht="15" hidden="false" customHeight="false" outlineLevel="0" collapsed="false">
      <c r="A78" s="39"/>
      <c r="B78" s="39"/>
      <c r="C78" s="39"/>
      <c r="D78" s="39"/>
      <c r="E78" s="39"/>
      <c r="F78" s="39"/>
      <c r="G78" s="39"/>
      <c r="H78" s="39"/>
      <c r="I78" s="40"/>
      <c r="J78" s="40"/>
      <c r="K78" s="40"/>
      <c r="L78" s="39"/>
      <c r="M78" s="39"/>
      <c r="N78" s="39"/>
      <c r="O78" s="39"/>
      <c r="P78" s="39"/>
      <c r="Q78" s="39"/>
      <c r="R78" s="39"/>
      <c r="S78" s="39"/>
    </row>
    <row r="79" customFormat="false" ht="15" hidden="false" customHeight="false" outlineLevel="0" collapsed="false">
      <c r="A79" s="39"/>
      <c r="B79" s="39"/>
      <c r="C79" s="39"/>
      <c r="D79" s="39"/>
      <c r="E79" s="39"/>
      <c r="F79" s="39"/>
      <c r="G79" s="39"/>
      <c r="H79" s="39"/>
      <c r="I79" s="40"/>
      <c r="J79" s="40"/>
      <c r="K79" s="40"/>
      <c r="L79" s="39"/>
      <c r="M79" s="39"/>
      <c r="N79" s="39"/>
      <c r="O79" s="39"/>
      <c r="P79" s="39"/>
      <c r="Q79" s="39"/>
      <c r="R79" s="39"/>
      <c r="S79" s="39"/>
    </row>
    <row r="80" customFormat="false" ht="15" hidden="false" customHeight="false" outlineLevel="0" collapsed="false">
      <c r="A80" s="39"/>
      <c r="B80" s="39"/>
      <c r="C80" s="39"/>
      <c r="D80" s="39"/>
      <c r="E80" s="39"/>
      <c r="F80" s="39"/>
      <c r="G80" s="39"/>
      <c r="H80" s="39"/>
      <c r="I80" s="40"/>
      <c r="J80" s="40"/>
      <c r="K80" s="40"/>
      <c r="L80" s="39"/>
      <c r="M80" s="39"/>
      <c r="N80" s="39"/>
      <c r="O80" s="39"/>
      <c r="P80" s="39"/>
      <c r="Q80" s="39"/>
      <c r="R80" s="39"/>
      <c r="S80" s="39"/>
    </row>
    <row r="81" customFormat="false" ht="15" hidden="false" customHeight="false" outlineLevel="0" collapsed="false">
      <c r="A81" s="39"/>
      <c r="B81" s="39"/>
      <c r="C81" s="39"/>
      <c r="D81" s="39"/>
      <c r="E81" s="39"/>
      <c r="F81" s="39"/>
      <c r="G81" s="39"/>
      <c r="H81" s="39"/>
      <c r="I81" s="40"/>
      <c r="J81" s="40"/>
      <c r="K81" s="40"/>
      <c r="L81" s="39"/>
      <c r="M81" s="39"/>
      <c r="N81" s="39"/>
      <c r="O81" s="39"/>
      <c r="P81" s="39"/>
      <c r="Q81" s="39"/>
      <c r="R81" s="39"/>
      <c r="S81" s="39"/>
    </row>
    <row r="82" customFormat="false" ht="15" hidden="false" customHeight="false" outlineLevel="0" collapsed="false">
      <c r="A82" s="39"/>
      <c r="B82" s="39"/>
      <c r="C82" s="39"/>
      <c r="D82" s="39"/>
      <c r="E82" s="39"/>
      <c r="F82" s="39"/>
      <c r="G82" s="39"/>
      <c r="H82" s="39"/>
      <c r="I82" s="40"/>
      <c r="J82" s="40"/>
      <c r="K82" s="40"/>
      <c r="L82" s="39"/>
      <c r="M82" s="39"/>
      <c r="N82" s="39"/>
      <c r="O82" s="39"/>
      <c r="P82" s="39"/>
      <c r="Q82" s="39"/>
      <c r="R82" s="39"/>
      <c r="S82" s="39"/>
    </row>
    <row r="83" customFormat="false" ht="15" hidden="false" customHeight="false" outlineLevel="0" collapsed="false">
      <c r="A83" s="39"/>
      <c r="B83" s="39"/>
      <c r="C83" s="39"/>
      <c r="D83" s="39"/>
      <c r="E83" s="39"/>
      <c r="F83" s="39"/>
      <c r="G83" s="39"/>
      <c r="H83" s="39"/>
      <c r="I83" s="40"/>
      <c r="J83" s="40"/>
      <c r="K83" s="40"/>
      <c r="L83" s="39"/>
      <c r="M83" s="39"/>
      <c r="N83" s="39"/>
      <c r="O83" s="39"/>
      <c r="P83" s="39"/>
      <c r="Q83" s="39"/>
      <c r="R83" s="39"/>
      <c r="S83" s="39"/>
    </row>
    <row r="84" customFormat="false" ht="15" hidden="false" customHeight="false" outlineLevel="0" collapsed="false">
      <c r="A84" s="39"/>
      <c r="B84" s="39"/>
      <c r="C84" s="39"/>
      <c r="D84" s="39"/>
      <c r="E84" s="39"/>
      <c r="F84" s="39"/>
      <c r="G84" s="39"/>
      <c r="H84" s="39"/>
      <c r="I84" s="40"/>
      <c r="J84" s="40"/>
      <c r="K84" s="40"/>
      <c r="L84" s="39"/>
      <c r="M84" s="39"/>
      <c r="N84" s="39"/>
      <c r="O84" s="39"/>
      <c r="P84" s="39"/>
      <c r="Q84" s="39"/>
      <c r="R84" s="39"/>
      <c r="S84" s="39"/>
    </row>
    <row r="85" customFormat="false" ht="15" hidden="false" customHeight="false" outlineLevel="0" collapsed="false">
      <c r="A85" s="39"/>
      <c r="B85" s="39"/>
      <c r="C85" s="39"/>
      <c r="D85" s="39"/>
      <c r="E85" s="39"/>
      <c r="F85" s="39"/>
      <c r="G85" s="39"/>
      <c r="H85" s="39"/>
      <c r="I85" s="40"/>
      <c r="J85" s="40"/>
      <c r="K85" s="40"/>
      <c r="L85" s="39"/>
      <c r="M85" s="39"/>
      <c r="N85" s="39"/>
      <c r="O85" s="39"/>
      <c r="P85" s="39"/>
      <c r="Q85" s="39"/>
      <c r="R85" s="39"/>
      <c r="S85" s="39"/>
    </row>
    <row r="86" customFormat="false" ht="15" hidden="false" customHeight="false" outlineLevel="0" collapsed="false">
      <c r="A86" s="39"/>
      <c r="B86" s="39"/>
      <c r="C86" s="39"/>
      <c r="D86" s="39"/>
      <c r="E86" s="39"/>
      <c r="F86" s="39"/>
      <c r="G86" s="39"/>
      <c r="H86" s="39"/>
      <c r="I86" s="40"/>
      <c r="J86" s="40"/>
      <c r="K86" s="40"/>
      <c r="L86" s="39"/>
      <c r="M86" s="39"/>
      <c r="N86" s="39"/>
      <c r="O86" s="39"/>
      <c r="P86" s="39"/>
      <c r="Q86" s="39"/>
      <c r="R86" s="39"/>
      <c r="S86" s="39"/>
    </row>
    <row r="87" customFormat="false" ht="15" hidden="false" customHeight="false" outlineLevel="0" collapsed="false">
      <c r="A87" s="39"/>
      <c r="B87" s="39"/>
      <c r="C87" s="39"/>
      <c r="D87" s="39"/>
      <c r="E87" s="39"/>
      <c r="F87" s="39"/>
      <c r="G87" s="39"/>
      <c r="H87" s="39"/>
      <c r="I87" s="40"/>
      <c r="J87" s="40"/>
      <c r="K87" s="40"/>
      <c r="L87" s="39"/>
      <c r="M87" s="39"/>
      <c r="N87" s="39"/>
      <c r="O87" s="39"/>
      <c r="P87" s="39"/>
      <c r="Q87" s="39"/>
      <c r="R87" s="39"/>
      <c r="S87" s="39"/>
    </row>
    <row r="88" customFormat="false" ht="15" hidden="false" customHeight="false" outlineLevel="0" collapsed="false">
      <c r="A88" s="39"/>
      <c r="B88" s="39"/>
      <c r="C88" s="39"/>
      <c r="D88" s="39"/>
      <c r="E88" s="39"/>
      <c r="F88" s="39"/>
      <c r="G88" s="39"/>
      <c r="H88" s="39"/>
      <c r="I88" s="40"/>
      <c r="J88" s="40"/>
      <c r="K88" s="40"/>
      <c r="L88" s="39"/>
      <c r="M88" s="39"/>
      <c r="N88" s="39"/>
      <c r="O88" s="39"/>
      <c r="P88" s="39"/>
      <c r="Q88" s="39"/>
      <c r="R88" s="39"/>
      <c r="S88" s="39"/>
    </row>
    <row r="89" customFormat="false" ht="15" hidden="false" customHeight="false" outlineLevel="0" collapsed="false">
      <c r="A89" s="39"/>
      <c r="B89" s="39"/>
      <c r="C89" s="39"/>
      <c r="D89" s="39"/>
      <c r="E89" s="39"/>
      <c r="F89" s="39"/>
      <c r="G89" s="39"/>
      <c r="H89" s="39"/>
      <c r="I89" s="40"/>
      <c r="J89" s="40"/>
      <c r="K89" s="40"/>
      <c r="L89" s="39"/>
      <c r="M89" s="39"/>
      <c r="N89" s="39"/>
      <c r="O89" s="39"/>
      <c r="P89" s="39"/>
      <c r="Q89" s="39"/>
      <c r="R89" s="39"/>
      <c r="S89" s="39"/>
    </row>
    <row r="90" customFormat="false" ht="15" hidden="false" customHeight="false" outlineLevel="0" collapsed="false">
      <c r="A90" s="39"/>
      <c r="B90" s="39"/>
      <c r="C90" s="39"/>
      <c r="D90" s="39"/>
      <c r="E90" s="39"/>
      <c r="F90" s="39"/>
      <c r="G90" s="39"/>
      <c r="H90" s="39"/>
      <c r="I90" s="40"/>
      <c r="J90" s="40"/>
      <c r="K90" s="40"/>
      <c r="L90" s="39"/>
      <c r="M90" s="39"/>
      <c r="N90" s="39"/>
      <c r="O90" s="39"/>
      <c r="P90" s="39"/>
      <c r="Q90" s="39"/>
      <c r="R90" s="39"/>
      <c r="S90" s="39"/>
    </row>
    <row r="91" customFormat="false" ht="15" hidden="false" customHeight="false" outlineLevel="0" collapsed="false">
      <c r="A91" s="39"/>
      <c r="B91" s="39"/>
      <c r="C91" s="39"/>
      <c r="D91" s="39"/>
      <c r="E91" s="39"/>
      <c r="F91" s="39"/>
      <c r="G91" s="39"/>
      <c r="H91" s="39"/>
      <c r="I91" s="40"/>
      <c r="J91" s="40"/>
      <c r="K91" s="40"/>
      <c r="L91" s="39"/>
      <c r="M91" s="39"/>
      <c r="N91" s="39"/>
      <c r="O91" s="39"/>
      <c r="P91" s="39"/>
      <c r="Q91" s="39"/>
      <c r="R91" s="39"/>
      <c r="S91" s="39"/>
    </row>
    <row r="92" customFormat="false" ht="15" hidden="false" customHeight="false" outlineLevel="0" collapsed="false">
      <c r="A92" s="39"/>
      <c r="B92" s="39"/>
      <c r="C92" s="39"/>
      <c r="D92" s="39"/>
      <c r="E92" s="39"/>
      <c r="F92" s="39"/>
      <c r="G92" s="39"/>
      <c r="H92" s="39"/>
      <c r="I92" s="40"/>
      <c r="J92" s="40"/>
      <c r="K92" s="40"/>
      <c r="L92" s="39"/>
      <c r="M92" s="39"/>
      <c r="N92" s="39"/>
      <c r="O92" s="39"/>
      <c r="P92" s="39"/>
      <c r="Q92" s="39"/>
      <c r="R92" s="39"/>
      <c r="S92" s="39"/>
    </row>
    <row r="93" customFormat="false" ht="15" hidden="false" customHeight="false" outlineLevel="0" collapsed="false">
      <c r="A93" s="39"/>
      <c r="B93" s="39"/>
      <c r="C93" s="39"/>
      <c r="D93" s="39"/>
      <c r="E93" s="39"/>
      <c r="F93" s="39"/>
      <c r="G93" s="39"/>
      <c r="H93" s="39"/>
      <c r="I93" s="40"/>
      <c r="J93" s="40"/>
      <c r="K93" s="40"/>
      <c r="L93" s="39"/>
      <c r="M93" s="39"/>
      <c r="N93" s="39"/>
      <c r="O93" s="39"/>
      <c r="P93" s="39"/>
      <c r="Q93" s="39"/>
      <c r="R93" s="39"/>
      <c r="S93" s="39"/>
    </row>
    <row r="94" customFormat="false" ht="15" hidden="false" customHeight="false" outlineLevel="0" collapsed="false">
      <c r="A94" s="39"/>
      <c r="B94" s="39"/>
      <c r="C94" s="39"/>
      <c r="D94" s="39"/>
      <c r="E94" s="39"/>
      <c r="F94" s="39"/>
      <c r="G94" s="39"/>
      <c r="H94" s="39"/>
      <c r="I94" s="40"/>
      <c r="J94" s="40"/>
      <c r="K94" s="40"/>
      <c r="L94" s="39"/>
      <c r="M94" s="39"/>
      <c r="N94" s="39"/>
      <c r="O94" s="39"/>
      <c r="P94" s="39"/>
      <c r="Q94" s="39"/>
      <c r="R94" s="39"/>
      <c r="S94" s="39"/>
    </row>
    <row r="95" customFormat="false" ht="15" hidden="false" customHeight="false" outlineLevel="0" collapsed="false">
      <c r="A95" s="39"/>
      <c r="B95" s="39"/>
      <c r="C95" s="39"/>
      <c r="D95" s="39"/>
      <c r="E95" s="39"/>
      <c r="F95" s="39"/>
      <c r="G95" s="39"/>
      <c r="H95" s="39"/>
      <c r="I95" s="40"/>
      <c r="J95" s="40"/>
      <c r="K95" s="40"/>
      <c r="L95" s="39"/>
      <c r="M95" s="39"/>
      <c r="N95" s="39"/>
      <c r="O95" s="39"/>
      <c r="P95" s="39"/>
      <c r="Q95" s="39"/>
      <c r="R95" s="39"/>
      <c r="S95" s="39"/>
    </row>
    <row r="96" customFormat="false" ht="15" hidden="false" customHeight="false" outlineLevel="0" collapsed="false">
      <c r="A96" s="39"/>
      <c r="B96" s="39"/>
      <c r="C96" s="39"/>
      <c r="D96" s="39"/>
      <c r="E96" s="39"/>
      <c r="F96" s="39"/>
      <c r="G96" s="39"/>
      <c r="H96" s="39"/>
      <c r="I96" s="40"/>
      <c r="J96" s="40"/>
      <c r="K96" s="40"/>
      <c r="L96" s="39"/>
      <c r="M96" s="39"/>
      <c r="N96" s="39"/>
      <c r="O96" s="39"/>
      <c r="P96" s="39"/>
      <c r="Q96" s="39"/>
      <c r="R96" s="39"/>
      <c r="S96" s="39"/>
    </row>
    <row r="97" customFormat="false" ht="15" hidden="false" customHeight="false" outlineLevel="0" collapsed="false">
      <c r="A97" s="39"/>
      <c r="B97" s="39"/>
      <c r="C97" s="39"/>
      <c r="D97" s="39"/>
      <c r="E97" s="39"/>
      <c r="F97" s="39"/>
      <c r="G97" s="39"/>
      <c r="H97" s="39"/>
      <c r="I97" s="40"/>
      <c r="J97" s="40"/>
      <c r="K97" s="40"/>
      <c r="L97" s="39"/>
      <c r="M97" s="39"/>
      <c r="N97" s="39"/>
      <c r="O97" s="39"/>
      <c r="P97" s="39"/>
      <c r="Q97" s="39"/>
      <c r="R97" s="39"/>
      <c r="S97" s="39"/>
    </row>
    <row r="98" customFormat="false" ht="15" hidden="false" customHeight="false" outlineLevel="0" collapsed="false">
      <c r="A98" s="39"/>
      <c r="B98" s="39"/>
      <c r="C98" s="39"/>
      <c r="D98" s="39"/>
      <c r="E98" s="39"/>
      <c r="F98" s="39"/>
      <c r="G98" s="39"/>
      <c r="H98" s="39"/>
      <c r="I98" s="40"/>
      <c r="J98" s="40"/>
      <c r="K98" s="40"/>
      <c r="L98" s="39"/>
      <c r="M98" s="39"/>
      <c r="N98" s="39"/>
      <c r="O98" s="39"/>
      <c r="P98" s="39"/>
      <c r="Q98" s="39"/>
      <c r="R98" s="39"/>
      <c r="S98" s="39"/>
    </row>
    <row r="99" customFormat="false" ht="15" hidden="false" customHeight="false" outlineLevel="0" collapsed="false">
      <c r="A99" s="39"/>
      <c r="B99" s="39"/>
      <c r="C99" s="39"/>
      <c r="D99" s="39"/>
      <c r="E99" s="39"/>
      <c r="F99" s="39"/>
      <c r="G99" s="39"/>
      <c r="H99" s="39"/>
      <c r="I99" s="40"/>
      <c r="J99" s="40"/>
      <c r="K99" s="40"/>
      <c r="L99" s="39"/>
      <c r="M99" s="39"/>
      <c r="N99" s="39"/>
      <c r="O99" s="39"/>
      <c r="P99" s="39"/>
      <c r="Q99" s="39"/>
      <c r="R99" s="39"/>
      <c r="S99" s="39"/>
    </row>
    <row r="100" customFormat="false" ht="15" hidden="false" customHeight="false" outlineLevel="0" collapsed="false">
      <c r="A100" s="39"/>
      <c r="B100" s="39"/>
      <c r="C100" s="39"/>
      <c r="D100" s="39"/>
      <c r="E100" s="39"/>
      <c r="F100" s="39"/>
      <c r="G100" s="39"/>
      <c r="H100" s="39"/>
      <c r="I100" s="40"/>
      <c r="J100" s="40"/>
      <c r="K100" s="40"/>
      <c r="L100" s="39"/>
      <c r="M100" s="39"/>
      <c r="N100" s="39"/>
      <c r="O100" s="39"/>
      <c r="P100" s="39"/>
      <c r="Q100" s="39"/>
      <c r="R100" s="39"/>
      <c r="S100" s="39"/>
    </row>
    <row r="101" customFormat="false" ht="15" hidden="false" customHeight="false" outlineLevel="0" collapsed="false">
      <c r="A101" s="39"/>
      <c r="B101" s="39"/>
      <c r="C101" s="39"/>
      <c r="D101" s="39"/>
      <c r="E101" s="39"/>
      <c r="F101" s="39"/>
      <c r="G101" s="39"/>
      <c r="H101" s="39"/>
      <c r="I101" s="40"/>
      <c r="J101" s="40"/>
      <c r="K101" s="40"/>
      <c r="L101" s="39"/>
      <c r="M101" s="39"/>
      <c r="N101" s="39"/>
      <c r="O101" s="39"/>
      <c r="P101" s="39"/>
      <c r="Q101" s="39"/>
      <c r="R101" s="39"/>
      <c r="S101" s="39"/>
    </row>
    <row r="102" customFormat="false" ht="15" hidden="false" customHeight="false" outlineLevel="0" collapsed="false">
      <c r="A102" s="39"/>
      <c r="B102" s="39"/>
      <c r="C102" s="39"/>
      <c r="D102" s="39"/>
      <c r="E102" s="39"/>
      <c r="F102" s="39"/>
      <c r="G102" s="39"/>
      <c r="H102" s="39"/>
      <c r="I102" s="40"/>
      <c r="J102" s="40"/>
      <c r="K102" s="40"/>
      <c r="L102" s="39"/>
      <c r="M102" s="39"/>
      <c r="N102" s="39"/>
      <c r="O102" s="39"/>
      <c r="P102" s="39"/>
      <c r="Q102" s="39"/>
      <c r="R102" s="39"/>
      <c r="S102" s="39"/>
    </row>
    <row r="103" customFormat="false" ht="15" hidden="false" customHeight="false" outlineLevel="0" collapsed="false">
      <c r="A103" s="39"/>
      <c r="B103" s="39"/>
      <c r="C103" s="39"/>
      <c r="D103" s="39"/>
      <c r="E103" s="39"/>
      <c r="F103" s="39"/>
      <c r="G103" s="39"/>
      <c r="H103" s="39"/>
      <c r="I103" s="40"/>
      <c r="J103" s="40"/>
      <c r="K103" s="40"/>
      <c r="L103" s="39"/>
      <c r="M103" s="39"/>
      <c r="N103" s="39"/>
      <c r="O103" s="39"/>
      <c r="P103" s="39"/>
      <c r="Q103" s="39"/>
      <c r="R103" s="39"/>
      <c r="S103" s="39"/>
    </row>
    <row r="104" customFormat="false" ht="15" hidden="false" customHeight="false" outlineLevel="0" collapsed="false">
      <c r="A104" s="39"/>
      <c r="B104" s="39"/>
      <c r="C104" s="39"/>
      <c r="D104" s="39"/>
      <c r="E104" s="39"/>
      <c r="F104" s="39"/>
      <c r="G104" s="39"/>
      <c r="H104" s="39"/>
      <c r="I104" s="40"/>
      <c r="J104" s="40"/>
      <c r="K104" s="40"/>
      <c r="L104" s="39"/>
      <c r="M104" s="39"/>
      <c r="N104" s="39"/>
      <c r="O104" s="39"/>
      <c r="P104" s="39"/>
      <c r="Q104" s="39"/>
      <c r="R104" s="39"/>
      <c r="S104" s="39"/>
    </row>
    <row r="105" customFormat="false" ht="15" hidden="false" customHeight="false" outlineLevel="0" collapsed="false">
      <c r="A105" s="39"/>
      <c r="B105" s="39"/>
      <c r="C105" s="39"/>
      <c r="D105" s="39"/>
      <c r="E105" s="39"/>
      <c r="F105" s="39"/>
      <c r="G105" s="39"/>
      <c r="H105" s="39"/>
      <c r="I105" s="40"/>
      <c r="J105" s="40"/>
      <c r="K105" s="40"/>
      <c r="L105" s="39"/>
      <c r="M105" s="39"/>
      <c r="N105" s="39"/>
      <c r="O105" s="39"/>
      <c r="P105" s="39"/>
      <c r="Q105" s="39"/>
      <c r="R105" s="39"/>
      <c r="S105" s="39"/>
    </row>
  </sheetData>
  <mergeCells count="2">
    <mergeCell ref="A1:S1"/>
    <mergeCell ref="A2:S2"/>
  </mergeCells>
  <dataValidations count="5">
    <dataValidation allowBlank="true" error="Enter a number (hours, days, or GB as the header says)." errorStyle="stop" errorTitle="Number required" operator="greaterThanOrEqual" showDropDown="false" showErrorMessage="true" showInputMessage="false" sqref="I5:K105" type="decimal">
      <formula1>0</formula1>
      <formula2>0</formula2>
    </dataValidation>
    <dataValidation allowBlank="true" errorStyle="stop" operator="between" showDropDown="false" showErrorMessage="false" showInputMessage="false" sqref="D5:D105" type="list">
      <formula1>Hosting</formula1>
      <formula2>0</formula2>
    </dataValidation>
    <dataValidation allowBlank="true" errorStyle="stop" operator="between" showDropDown="false" showErrorMessage="false" showInputMessage="false" sqref="H5:H105" type="list">
      <formula1>Tier</formula1>
      <formula2>0</formula2>
    </dataValidation>
    <dataValidation allowBlank="true" errorStyle="stop" operator="between" showDropDown="false" showErrorMessage="false" showInputMessage="false" sqref="M5:M105" type="list">
      <formula1>AuthMethod</formula1>
      <formula2>0</formula2>
    </dataValidation>
    <dataValidation allowBlank="true" errorStyle="stop" operator="between" showDropDown="false" showErrorMessage="false" showInputMessage="false" sqref="R5:R105" type="list">
      <formula1>YesNo</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&amp;A&amp;R&amp;8 Powered by MSP Culture  |  v1.0  |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8FF"/>
    <pageSetUpPr fitToPage="true"/>
  </sheetPr>
  <dimension ref="A1:P1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3" min="3" style="0" width="26"/>
    <col collapsed="false" customWidth="true" hidden="false" outlineLevel="0" max="6" min="4" style="0" width="18"/>
    <col collapsed="false" customWidth="true" hidden="false" outlineLevel="0" max="8" min="7" style="0" width="14"/>
    <col collapsed="false" customWidth="true" hidden="false" outlineLevel="0" max="9" min="9" style="0" width="10"/>
    <col collapsed="false" customWidth="true" hidden="false" outlineLevel="0" max="10" min="10" style="0" width="14"/>
    <col collapsed="false" customWidth="true" hidden="false" outlineLevel="0" max="11" min="11" style="0" width="16"/>
    <col collapsed="false" customWidth="true" hidden="false" outlineLevel="0" max="13" min="12" style="0" width="10"/>
    <col collapsed="false" customWidth="true" hidden="false" outlineLevel="0" max="14" min="14" style="0" width="18"/>
    <col collapsed="false" customWidth="true" hidden="false" outlineLevel="0" max="15" min="15" style="0" width="10"/>
    <col collapsed="false" customWidth="true" hidden="false" outlineLevel="0" max="16" min="16" style="0" width="24"/>
  </cols>
  <sheetData>
    <row r="1" customFormat="false" ht="33.75" hidden="false" customHeight="true" outlineLevel="0" collapsed="false">
      <c r="A1" s="26" t="str">
        <f aca="false">IF(PreparedFor="","Data Inventory &amp; Data Owners","Data Inventory &amp; Data Owners  |  "&amp;PreparedFor)</f>
        <v>Data Inventory &amp; Data Owners</v>
      </c>
      <c r="B1" s="26"/>
      <c r="C1" s="26"/>
      <c r="D1" s="26"/>
      <c r="E1" s="26"/>
      <c r="F1" s="26"/>
      <c r="G1" s="26"/>
      <c r="H1" s="26"/>
      <c r="I1" s="26"/>
      <c r="J1" s="26"/>
      <c r="K1" s="26"/>
      <c r="L1" s="26"/>
      <c r="M1" s="26"/>
      <c r="N1" s="26"/>
      <c r="O1" s="26"/>
      <c r="P1" s="26"/>
    </row>
    <row r="2" customFormat="false" ht="48" hidden="false" customHeight="true" outlineLevel="0" collapsed="false">
      <c r="A2" s="27" t="s">
        <v>235</v>
      </c>
      <c r="B2" s="27"/>
      <c r="C2" s="27"/>
      <c r="D2" s="27"/>
      <c r="E2" s="27"/>
      <c r="F2" s="27"/>
      <c r="G2" s="27"/>
      <c r="H2" s="27"/>
      <c r="I2" s="27"/>
      <c r="J2" s="27"/>
      <c r="K2" s="27"/>
      <c r="L2" s="27"/>
      <c r="M2" s="27"/>
      <c r="N2" s="27"/>
      <c r="O2" s="27"/>
      <c r="P2" s="27"/>
    </row>
    <row r="3" customFormat="false" ht="42" hidden="false" customHeight="true" outlineLevel="0" collapsed="false">
      <c r="A3" s="33" t="s">
        <v>236</v>
      </c>
      <c r="B3" s="33" t="s">
        <v>163</v>
      </c>
      <c r="C3" s="33" t="s">
        <v>237</v>
      </c>
      <c r="D3" s="33" t="s">
        <v>238</v>
      </c>
      <c r="E3" s="33" t="s">
        <v>239</v>
      </c>
      <c r="F3" s="33" t="s">
        <v>240</v>
      </c>
      <c r="G3" s="33" t="s">
        <v>241</v>
      </c>
      <c r="H3" s="33" t="s">
        <v>242</v>
      </c>
      <c r="I3" s="33" t="s">
        <v>243</v>
      </c>
      <c r="J3" s="33" t="s">
        <v>244</v>
      </c>
      <c r="K3" s="33" t="s">
        <v>245</v>
      </c>
      <c r="L3" s="33" t="s">
        <v>246</v>
      </c>
      <c r="M3" s="33" t="s">
        <v>247</v>
      </c>
      <c r="N3" s="33" t="s">
        <v>248</v>
      </c>
      <c r="O3" s="33" t="s">
        <v>249</v>
      </c>
      <c r="P3" s="33" t="s">
        <v>177</v>
      </c>
    </row>
    <row r="4" customFormat="false" ht="66" hidden="false" customHeight="true" outlineLevel="0" collapsed="false">
      <c r="A4" s="35"/>
      <c r="B4" s="35"/>
      <c r="C4" s="35"/>
      <c r="D4" s="35"/>
      <c r="E4" s="35"/>
      <c r="F4" s="35"/>
      <c r="G4" s="35"/>
      <c r="H4" s="35"/>
      <c r="I4" s="35"/>
      <c r="J4" s="35" t="s">
        <v>250</v>
      </c>
      <c r="K4" s="35"/>
      <c r="L4" s="35"/>
      <c r="M4" s="35"/>
      <c r="N4" s="35"/>
      <c r="O4" s="35"/>
      <c r="P4" s="35"/>
    </row>
    <row r="5" customFormat="false" ht="22.35" hidden="false" customHeight="false" outlineLevel="0" collapsed="false">
      <c r="A5" s="36" t="s">
        <v>251</v>
      </c>
      <c r="B5" s="36" t="s">
        <v>252</v>
      </c>
      <c r="C5" s="36" t="s">
        <v>253</v>
      </c>
      <c r="D5" s="36" t="s">
        <v>221</v>
      </c>
      <c r="E5" s="36" t="s">
        <v>186</v>
      </c>
      <c r="F5" s="36" t="s">
        <v>226</v>
      </c>
      <c r="G5" s="36" t="s">
        <v>254</v>
      </c>
      <c r="H5" s="36" t="s">
        <v>255</v>
      </c>
      <c r="I5" s="37" t="n">
        <v>450</v>
      </c>
      <c r="J5" s="36" t="s">
        <v>256</v>
      </c>
      <c r="K5" s="36" t="s">
        <v>257</v>
      </c>
      <c r="L5" s="36" t="s">
        <v>234</v>
      </c>
      <c r="M5" s="36" t="s">
        <v>192</v>
      </c>
      <c r="N5" s="36" t="s">
        <v>258</v>
      </c>
      <c r="O5" s="36" t="s">
        <v>192</v>
      </c>
      <c r="P5" s="36"/>
    </row>
    <row r="6" customFormat="false" ht="15" hidden="false" customHeight="false" outlineLevel="0" collapsed="false">
      <c r="A6" s="39"/>
      <c r="B6" s="39"/>
      <c r="C6" s="39"/>
      <c r="D6" s="39"/>
      <c r="E6" s="39"/>
      <c r="F6" s="39"/>
      <c r="G6" s="39"/>
      <c r="H6" s="39"/>
      <c r="I6" s="40"/>
      <c r="J6" s="39"/>
      <c r="K6" s="39"/>
      <c r="L6" s="39"/>
      <c r="M6" s="39"/>
      <c r="N6" s="39"/>
      <c r="O6" s="39"/>
      <c r="P6" s="39"/>
    </row>
    <row r="7" customFormat="false" ht="15" hidden="false" customHeight="false" outlineLevel="0" collapsed="false">
      <c r="A7" s="39"/>
      <c r="B7" s="39"/>
      <c r="C7" s="39"/>
      <c r="D7" s="39"/>
      <c r="E7" s="39"/>
      <c r="F7" s="39"/>
      <c r="G7" s="39"/>
      <c r="H7" s="39"/>
      <c r="I7" s="40"/>
      <c r="J7" s="39"/>
      <c r="K7" s="39"/>
      <c r="L7" s="39"/>
      <c r="M7" s="39"/>
      <c r="N7" s="39"/>
      <c r="O7" s="39"/>
      <c r="P7" s="39"/>
    </row>
    <row r="8" customFormat="false" ht="15" hidden="false" customHeight="false" outlineLevel="0" collapsed="false">
      <c r="A8" s="39"/>
      <c r="B8" s="39"/>
      <c r="C8" s="39"/>
      <c r="D8" s="39"/>
      <c r="E8" s="39"/>
      <c r="F8" s="39"/>
      <c r="G8" s="39"/>
      <c r="H8" s="39"/>
      <c r="I8" s="40"/>
      <c r="J8" s="39"/>
      <c r="K8" s="39"/>
      <c r="L8" s="39"/>
      <c r="M8" s="39"/>
      <c r="N8" s="39"/>
      <c r="O8" s="39"/>
      <c r="P8" s="39"/>
    </row>
    <row r="9" customFormat="false" ht="15" hidden="false" customHeight="false" outlineLevel="0" collapsed="false">
      <c r="A9" s="39"/>
      <c r="B9" s="39"/>
      <c r="C9" s="39"/>
      <c r="D9" s="39"/>
      <c r="E9" s="39"/>
      <c r="F9" s="39"/>
      <c r="G9" s="39"/>
      <c r="H9" s="39"/>
      <c r="I9" s="40"/>
      <c r="J9" s="39"/>
      <c r="K9" s="39"/>
      <c r="L9" s="39"/>
      <c r="M9" s="39"/>
      <c r="N9" s="39"/>
      <c r="O9" s="39"/>
      <c r="P9" s="39"/>
    </row>
    <row r="10" customFormat="false" ht="15" hidden="false" customHeight="false" outlineLevel="0" collapsed="false">
      <c r="A10" s="39"/>
      <c r="B10" s="39"/>
      <c r="C10" s="39"/>
      <c r="D10" s="39"/>
      <c r="E10" s="39"/>
      <c r="F10" s="39"/>
      <c r="G10" s="39"/>
      <c r="H10" s="39"/>
      <c r="I10" s="40"/>
      <c r="J10" s="39"/>
      <c r="K10" s="39"/>
      <c r="L10" s="39"/>
      <c r="M10" s="39"/>
      <c r="N10" s="39"/>
      <c r="O10" s="39"/>
      <c r="P10" s="39"/>
    </row>
    <row r="11" customFormat="false" ht="15" hidden="false" customHeight="false" outlineLevel="0" collapsed="false">
      <c r="A11" s="39"/>
      <c r="B11" s="39"/>
      <c r="C11" s="39"/>
      <c r="D11" s="39"/>
      <c r="E11" s="39"/>
      <c r="F11" s="39"/>
      <c r="G11" s="39"/>
      <c r="H11" s="39"/>
      <c r="I11" s="40"/>
      <c r="J11" s="39"/>
      <c r="K11" s="39"/>
      <c r="L11" s="39"/>
      <c r="M11" s="39"/>
      <c r="N11" s="39"/>
      <c r="O11" s="39"/>
      <c r="P11" s="39"/>
    </row>
    <row r="12" customFormat="false" ht="15" hidden="false" customHeight="false" outlineLevel="0" collapsed="false">
      <c r="A12" s="39"/>
      <c r="B12" s="39"/>
      <c r="C12" s="39"/>
      <c r="D12" s="39"/>
      <c r="E12" s="39"/>
      <c r="F12" s="39"/>
      <c r="G12" s="39"/>
      <c r="H12" s="39"/>
      <c r="I12" s="40"/>
      <c r="J12" s="39"/>
      <c r="K12" s="39"/>
      <c r="L12" s="39"/>
      <c r="M12" s="39"/>
      <c r="N12" s="39"/>
      <c r="O12" s="39"/>
      <c r="P12" s="39"/>
    </row>
    <row r="13" customFormat="false" ht="15" hidden="false" customHeight="false" outlineLevel="0" collapsed="false">
      <c r="A13" s="39"/>
      <c r="B13" s="39"/>
      <c r="C13" s="39"/>
      <c r="D13" s="39"/>
      <c r="E13" s="39"/>
      <c r="F13" s="39"/>
      <c r="G13" s="39"/>
      <c r="H13" s="39"/>
      <c r="I13" s="40"/>
      <c r="J13" s="39"/>
      <c r="K13" s="39"/>
      <c r="L13" s="39"/>
      <c r="M13" s="39"/>
      <c r="N13" s="39"/>
      <c r="O13" s="39"/>
      <c r="P13" s="39"/>
    </row>
    <row r="14" customFormat="false" ht="15" hidden="false" customHeight="false" outlineLevel="0" collapsed="false">
      <c r="A14" s="39"/>
      <c r="B14" s="39"/>
      <c r="C14" s="39"/>
      <c r="D14" s="39"/>
      <c r="E14" s="39"/>
      <c r="F14" s="39"/>
      <c r="G14" s="39"/>
      <c r="H14" s="39"/>
      <c r="I14" s="40"/>
      <c r="J14" s="39"/>
      <c r="K14" s="39"/>
      <c r="L14" s="39"/>
      <c r="M14" s="39"/>
      <c r="N14" s="39"/>
      <c r="O14" s="39"/>
      <c r="P14" s="39"/>
    </row>
    <row r="15" customFormat="false" ht="15" hidden="false" customHeight="false" outlineLevel="0" collapsed="false">
      <c r="A15" s="39"/>
      <c r="B15" s="39"/>
      <c r="C15" s="39"/>
      <c r="D15" s="39"/>
      <c r="E15" s="39"/>
      <c r="F15" s="39"/>
      <c r="G15" s="39"/>
      <c r="H15" s="39"/>
      <c r="I15" s="40"/>
      <c r="J15" s="39"/>
      <c r="K15" s="39"/>
      <c r="L15" s="39"/>
      <c r="M15" s="39"/>
      <c r="N15" s="39"/>
      <c r="O15" s="39"/>
      <c r="P15" s="39"/>
    </row>
    <row r="16" customFormat="false" ht="15" hidden="false" customHeight="false" outlineLevel="0" collapsed="false">
      <c r="A16" s="39"/>
      <c r="B16" s="39"/>
      <c r="C16" s="39"/>
      <c r="D16" s="39"/>
      <c r="E16" s="39"/>
      <c r="F16" s="39"/>
      <c r="G16" s="39"/>
      <c r="H16" s="39"/>
      <c r="I16" s="40"/>
      <c r="J16" s="39"/>
      <c r="K16" s="39"/>
      <c r="L16" s="39"/>
      <c r="M16" s="39"/>
      <c r="N16" s="39"/>
      <c r="O16" s="39"/>
      <c r="P16" s="39"/>
    </row>
    <row r="17" customFormat="false" ht="15" hidden="false" customHeight="false" outlineLevel="0" collapsed="false">
      <c r="A17" s="39"/>
      <c r="B17" s="39"/>
      <c r="C17" s="39"/>
      <c r="D17" s="39"/>
      <c r="E17" s="39"/>
      <c r="F17" s="39"/>
      <c r="G17" s="39"/>
      <c r="H17" s="39"/>
      <c r="I17" s="40"/>
      <c r="J17" s="39"/>
      <c r="K17" s="39"/>
      <c r="L17" s="39"/>
      <c r="M17" s="39"/>
      <c r="N17" s="39"/>
      <c r="O17" s="39"/>
      <c r="P17" s="39"/>
    </row>
    <row r="18" customFormat="false" ht="15" hidden="false" customHeight="false" outlineLevel="0" collapsed="false">
      <c r="A18" s="39"/>
      <c r="B18" s="39"/>
      <c r="C18" s="39"/>
      <c r="D18" s="39"/>
      <c r="E18" s="39"/>
      <c r="F18" s="39"/>
      <c r="G18" s="39"/>
      <c r="H18" s="39"/>
      <c r="I18" s="40"/>
      <c r="J18" s="39"/>
      <c r="K18" s="39"/>
      <c r="L18" s="39"/>
      <c r="M18" s="39"/>
      <c r="N18" s="39"/>
      <c r="O18" s="39"/>
      <c r="P18" s="39"/>
    </row>
    <row r="19" customFormat="false" ht="15" hidden="false" customHeight="false" outlineLevel="0" collapsed="false">
      <c r="A19" s="39"/>
      <c r="B19" s="39"/>
      <c r="C19" s="39"/>
      <c r="D19" s="39"/>
      <c r="E19" s="39"/>
      <c r="F19" s="39"/>
      <c r="G19" s="39"/>
      <c r="H19" s="39"/>
      <c r="I19" s="40"/>
      <c r="J19" s="39"/>
      <c r="K19" s="39"/>
      <c r="L19" s="39"/>
      <c r="M19" s="39"/>
      <c r="N19" s="39"/>
      <c r="O19" s="39"/>
      <c r="P19" s="39"/>
    </row>
    <row r="20" customFormat="false" ht="15" hidden="false" customHeight="false" outlineLevel="0" collapsed="false">
      <c r="A20" s="39"/>
      <c r="B20" s="39"/>
      <c r="C20" s="39"/>
      <c r="D20" s="39"/>
      <c r="E20" s="39"/>
      <c r="F20" s="39"/>
      <c r="G20" s="39"/>
      <c r="H20" s="39"/>
      <c r="I20" s="40"/>
      <c r="J20" s="39"/>
      <c r="K20" s="39"/>
      <c r="L20" s="39"/>
      <c r="M20" s="39"/>
      <c r="N20" s="39"/>
      <c r="O20" s="39"/>
      <c r="P20" s="39"/>
    </row>
    <row r="21" customFormat="false" ht="15" hidden="false" customHeight="false" outlineLevel="0" collapsed="false">
      <c r="A21" s="39"/>
      <c r="B21" s="39"/>
      <c r="C21" s="39"/>
      <c r="D21" s="39"/>
      <c r="E21" s="39"/>
      <c r="F21" s="39"/>
      <c r="G21" s="39"/>
      <c r="H21" s="39"/>
      <c r="I21" s="40"/>
      <c r="J21" s="39"/>
      <c r="K21" s="39"/>
      <c r="L21" s="39"/>
      <c r="M21" s="39"/>
      <c r="N21" s="39"/>
      <c r="O21" s="39"/>
      <c r="P21" s="39"/>
    </row>
    <row r="22" customFormat="false" ht="15" hidden="false" customHeight="false" outlineLevel="0" collapsed="false">
      <c r="A22" s="39"/>
      <c r="B22" s="39"/>
      <c r="C22" s="39"/>
      <c r="D22" s="39"/>
      <c r="E22" s="39"/>
      <c r="F22" s="39"/>
      <c r="G22" s="39"/>
      <c r="H22" s="39"/>
      <c r="I22" s="40"/>
      <c r="J22" s="39"/>
      <c r="K22" s="39"/>
      <c r="L22" s="39"/>
      <c r="M22" s="39"/>
      <c r="N22" s="39"/>
      <c r="O22" s="39"/>
      <c r="P22" s="39"/>
    </row>
    <row r="23" customFormat="false" ht="15" hidden="false" customHeight="false" outlineLevel="0" collapsed="false">
      <c r="A23" s="39"/>
      <c r="B23" s="39"/>
      <c r="C23" s="39"/>
      <c r="D23" s="39"/>
      <c r="E23" s="39"/>
      <c r="F23" s="39"/>
      <c r="G23" s="39"/>
      <c r="H23" s="39"/>
      <c r="I23" s="40"/>
      <c r="J23" s="39"/>
      <c r="K23" s="39"/>
      <c r="L23" s="39"/>
      <c r="M23" s="39"/>
      <c r="N23" s="39"/>
      <c r="O23" s="39"/>
      <c r="P23" s="39"/>
    </row>
    <row r="24" customFormat="false" ht="15" hidden="false" customHeight="false" outlineLevel="0" collapsed="false">
      <c r="A24" s="39"/>
      <c r="B24" s="39"/>
      <c r="C24" s="39"/>
      <c r="D24" s="39"/>
      <c r="E24" s="39"/>
      <c r="F24" s="39"/>
      <c r="G24" s="39"/>
      <c r="H24" s="39"/>
      <c r="I24" s="40"/>
      <c r="J24" s="39"/>
      <c r="K24" s="39"/>
      <c r="L24" s="39"/>
      <c r="M24" s="39"/>
      <c r="N24" s="39"/>
      <c r="O24" s="39"/>
      <c r="P24" s="39"/>
    </row>
    <row r="25" customFormat="false" ht="15" hidden="false" customHeight="false" outlineLevel="0" collapsed="false">
      <c r="A25" s="39"/>
      <c r="B25" s="39"/>
      <c r="C25" s="39"/>
      <c r="D25" s="39"/>
      <c r="E25" s="39"/>
      <c r="F25" s="39"/>
      <c r="G25" s="39"/>
      <c r="H25" s="39"/>
      <c r="I25" s="40"/>
      <c r="J25" s="39"/>
      <c r="K25" s="39"/>
      <c r="L25" s="39"/>
      <c r="M25" s="39"/>
      <c r="N25" s="39"/>
      <c r="O25" s="39"/>
      <c r="P25" s="39"/>
    </row>
    <row r="26" customFormat="false" ht="15" hidden="false" customHeight="false" outlineLevel="0" collapsed="false">
      <c r="A26" s="39"/>
      <c r="B26" s="39"/>
      <c r="C26" s="39"/>
      <c r="D26" s="39"/>
      <c r="E26" s="39"/>
      <c r="F26" s="39"/>
      <c r="G26" s="39"/>
      <c r="H26" s="39"/>
      <c r="I26" s="40"/>
      <c r="J26" s="39"/>
      <c r="K26" s="39"/>
      <c r="L26" s="39"/>
      <c r="M26" s="39"/>
      <c r="N26" s="39"/>
      <c r="O26" s="39"/>
      <c r="P26" s="39"/>
    </row>
    <row r="27" customFormat="false" ht="15" hidden="false" customHeight="false" outlineLevel="0" collapsed="false">
      <c r="A27" s="39"/>
      <c r="B27" s="39"/>
      <c r="C27" s="39"/>
      <c r="D27" s="39"/>
      <c r="E27" s="39"/>
      <c r="F27" s="39"/>
      <c r="G27" s="39"/>
      <c r="H27" s="39"/>
      <c r="I27" s="40"/>
      <c r="J27" s="39"/>
      <c r="K27" s="39"/>
      <c r="L27" s="39"/>
      <c r="M27" s="39"/>
      <c r="N27" s="39"/>
      <c r="O27" s="39"/>
      <c r="P27" s="39"/>
    </row>
    <row r="28" customFormat="false" ht="15" hidden="false" customHeight="false" outlineLevel="0" collapsed="false">
      <c r="A28" s="39"/>
      <c r="B28" s="39"/>
      <c r="C28" s="39"/>
      <c r="D28" s="39"/>
      <c r="E28" s="39"/>
      <c r="F28" s="39"/>
      <c r="G28" s="39"/>
      <c r="H28" s="39"/>
      <c r="I28" s="40"/>
      <c r="J28" s="39"/>
      <c r="K28" s="39"/>
      <c r="L28" s="39"/>
      <c r="M28" s="39"/>
      <c r="N28" s="39"/>
      <c r="O28" s="39"/>
      <c r="P28" s="39"/>
    </row>
    <row r="29" customFormat="false" ht="15" hidden="false" customHeight="false" outlineLevel="0" collapsed="false">
      <c r="A29" s="39"/>
      <c r="B29" s="39"/>
      <c r="C29" s="39"/>
      <c r="D29" s="39"/>
      <c r="E29" s="39"/>
      <c r="F29" s="39"/>
      <c r="G29" s="39"/>
      <c r="H29" s="39"/>
      <c r="I29" s="40"/>
      <c r="J29" s="39"/>
      <c r="K29" s="39"/>
      <c r="L29" s="39"/>
      <c r="M29" s="39"/>
      <c r="N29" s="39"/>
      <c r="O29" s="39"/>
      <c r="P29" s="39"/>
    </row>
    <row r="30" customFormat="false" ht="15" hidden="false" customHeight="false" outlineLevel="0" collapsed="false">
      <c r="A30" s="39"/>
      <c r="B30" s="39"/>
      <c r="C30" s="39"/>
      <c r="D30" s="39"/>
      <c r="E30" s="39"/>
      <c r="F30" s="39"/>
      <c r="G30" s="39"/>
      <c r="H30" s="39"/>
      <c r="I30" s="40"/>
      <c r="J30" s="39"/>
      <c r="K30" s="39"/>
      <c r="L30" s="39"/>
      <c r="M30" s="39"/>
      <c r="N30" s="39"/>
      <c r="O30" s="39"/>
      <c r="P30" s="39"/>
    </row>
    <row r="31" customFormat="false" ht="15" hidden="false" customHeight="false" outlineLevel="0" collapsed="false">
      <c r="A31" s="39"/>
      <c r="B31" s="39"/>
      <c r="C31" s="39"/>
      <c r="D31" s="39"/>
      <c r="E31" s="39"/>
      <c r="F31" s="39"/>
      <c r="G31" s="39"/>
      <c r="H31" s="39"/>
      <c r="I31" s="40"/>
      <c r="J31" s="39"/>
      <c r="K31" s="39"/>
      <c r="L31" s="39"/>
      <c r="M31" s="39"/>
      <c r="N31" s="39"/>
      <c r="O31" s="39"/>
      <c r="P31" s="39"/>
    </row>
    <row r="32" customFormat="false" ht="15" hidden="false" customHeight="false" outlineLevel="0" collapsed="false">
      <c r="A32" s="39"/>
      <c r="B32" s="39"/>
      <c r="C32" s="39"/>
      <c r="D32" s="39"/>
      <c r="E32" s="39"/>
      <c r="F32" s="39"/>
      <c r="G32" s="39"/>
      <c r="H32" s="39"/>
      <c r="I32" s="40"/>
      <c r="J32" s="39"/>
      <c r="K32" s="39"/>
      <c r="L32" s="39"/>
      <c r="M32" s="39"/>
      <c r="N32" s="39"/>
      <c r="O32" s="39"/>
      <c r="P32" s="39"/>
    </row>
    <row r="33" customFormat="false" ht="15" hidden="false" customHeight="false" outlineLevel="0" collapsed="false">
      <c r="A33" s="39"/>
      <c r="B33" s="39"/>
      <c r="C33" s="39"/>
      <c r="D33" s="39"/>
      <c r="E33" s="39"/>
      <c r="F33" s="39"/>
      <c r="G33" s="39"/>
      <c r="H33" s="39"/>
      <c r="I33" s="40"/>
      <c r="J33" s="39"/>
      <c r="K33" s="39"/>
      <c r="L33" s="39"/>
      <c r="M33" s="39"/>
      <c r="N33" s="39"/>
      <c r="O33" s="39"/>
      <c r="P33" s="39"/>
    </row>
    <row r="34" customFormat="false" ht="15" hidden="false" customHeight="false" outlineLevel="0" collapsed="false">
      <c r="A34" s="39"/>
      <c r="B34" s="39"/>
      <c r="C34" s="39"/>
      <c r="D34" s="39"/>
      <c r="E34" s="39"/>
      <c r="F34" s="39"/>
      <c r="G34" s="39"/>
      <c r="H34" s="39"/>
      <c r="I34" s="40"/>
      <c r="J34" s="39"/>
      <c r="K34" s="39"/>
      <c r="L34" s="39"/>
      <c r="M34" s="39"/>
      <c r="N34" s="39"/>
      <c r="O34" s="39"/>
      <c r="P34" s="39"/>
    </row>
    <row r="35" customFormat="false" ht="15" hidden="false" customHeight="false" outlineLevel="0" collapsed="false">
      <c r="A35" s="39"/>
      <c r="B35" s="39"/>
      <c r="C35" s="39"/>
      <c r="D35" s="39"/>
      <c r="E35" s="39"/>
      <c r="F35" s="39"/>
      <c r="G35" s="39"/>
      <c r="H35" s="39"/>
      <c r="I35" s="40"/>
      <c r="J35" s="39"/>
      <c r="K35" s="39"/>
      <c r="L35" s="39"/>
      <c r="M35" s="39"/>
      <c r="N35" s="39"/>
      <c r="O35" s="39"/>
      <c r="P35" s="39"/>
    </row>
    <row r="36" customFormat="false" ht="15" hidden="false" customHeight="false" outlineLevel="0" collapsed="false">
      <c r="A36" s="39"/>
      <c r="B36" s="39"/>
      <c r="C36" s="39"/>
      <c r="D36" s="39"/>
      <c r="E36" s="39"/>
      <c r="F36" s="39"/>
      <c r="G36" s="39"/>
      <c r="H36" s="39"/>
      <c r="I36" s="40"/>
      <c r="J36" s="39"/>
      <c r="K36" s="39"/>
      <c r="L36" s="39"/>
      <c r="M36" s="39"/>
      <c r="N36" s="39"/>
      <c r="O36" s="39"/>
      <c r="P36" s="39"/>
    </row>
    <row r="37" customFormat="false" ht="15" hidden="false" customHeight="false" outlineLevel="0" collapsed="false">
      <c r="A37" s="39"/>
      <c r="B37" s="39"/>
      <c r="C37" s="39"/>
      <c r="D37" s="39"/>
      <c r="E37" s="39"/>
      <c r="F37" s="39"/>
      <c r="G37" s="39"/>
      <c r="H37" s="39"/>
      <c r="I37" s="40"/>
      <c r="J37" s="39"/>
      <c r="K37" s="39"/>
      <c r="L37" s="39"/>
      <c r="M37" s="39"/>
      <c r="N37" s="39"/>
      <c r="O37" s="39"/>
      <c r="P37" s="39"/>
    </row>
    <row r="38" customFormat="false" ht="15" hidden="false" customHeight="false" outlineLevel="0" collapsed="false">
      <c r="A38" s="39"/>
      <c r="B38" s="39"/>
      <c r="C38" s="39"/>
      <c r="D38" s="39"/>
      <c r="E38" s="39"/>
      <c r="F38" s="39"/>
      <c r="G38" s="39"/>
      <c r="H38" s="39"/>
      <c r="I38" s="40"/>
      <c r="J38" s="39"/>
      <c r="K38" s="39"/>
      <c r="L38" s="39"/>
      <c r="M38" s="39"/>
      <c r="N38" s="39"/>
      <c r="O38" s="39"/>
      <c r="P38" s="39"/>
    </row>
    <row r="39" customFormat="false" ht="15" hidden="false" customHeight="false" outlineLevel="0" collapsed="false">
      <c r="A39" s="39"/>
      <c r="B39" s="39"/>
      <c r="C39" s="39"/>
      <c r="D39" s="39"/>
      <c r="E39" s="39"/>
      <c r="F39" s="39"/>
      <c r="G39" s="39"/>
      <c r="H39" s="39"/>
      <c r="I39" s="40"/>
      <c r="J39" s="39"/>
      <c r="K39" s="39"/>
      <c r="L39" s="39"/>
      <c r="M39" s="39"/>
      <c r="N39" s="39"/>
      <c r="O39" s="39"/>
      <c r="P39" s="39"/>
    </row>
    <row r="40" customFormat="false" ht="15" hidden="false" customHeight="false" outlineLevel="0" collapsed="false">
      <c r="A40" s="39"/>
      <c r="B40" s="39"/>
      <c r="C40" s="39"/>
      <c r="D40" s="39"/>
      <c r="E40" s="39"/>
      <c r="F40" s="39"/>
      <c r="G40" s="39"/>
      <c r="H40" s="39"/>
      <c r="I40" s="40"/>
      <c r="J40" s="39"/>
      <c r="K40" s="39"/>
      <c r="L40" s="39"/>
      <c r="M40" s="39"/>
      <c r="N40" s="39"/>
      <c r="O40" s="39"/>
      <c r="P40" s="39"/>
    </row>
    <row r="41" customFormat="false" ht="15" hidden="false" customHeight="false" outlineLevel="0" collapsed="false">
      <c r="A41" s="39"/>
      <c r="B41" s="39"/>
      <c r="C41" s="39"/>
      <c r="D41" s="39"/>
      <c r="E41" s="39"/>
      <c r="F41" s="39"/>
      <c r="G41" s="39"/>
      <c r="H41" s="39"/>
      <c r="I41" s="40"/>
      <c r="J41" s="39"/>
      <c r="K41" s="39"/>
      <c r="L41" s="39"/>
      <c r="M41" s="39"/>
      <c r="N41" s="39"/>
      <c r="O41" s="39"/>
      <c r="P41" s="39"/>
    </row>
    <row r="42" customFormat="false" ht="15" hidden="false" customHeight="false" outlineLevel="0" collapsed="false">
      <c r="A42" s="39"/>
      <c r="B42" s="39"/>
      <c r="C42" s="39"/>
      <c r="D42" s="39"/>
      <c r="E42" s="39"/>
      <c r="F42" s="39"/>
      <c r="G42" s="39"/>
      <c r="H42" s="39"/>
      <c r="I42" s="40"/>
      <c r="J42" s="39"/>
      <c r="K42" s="39"/>
      <c r="L42" s="39"/>
      <c r="M42" s="39"/>
      <c r="N42" s="39"/>
      <c r="O42" s="39"/>
      <c r="P42" s="39"/>
    </row>
    <row r="43" customFormat="false" ht="15" hidden="false" customHeight="false" outlineLevel="0" collapsed="false">
      <c r="A43" s="39"/>
      <c r="B43" s="39"/>
      <c r="C43" s="39"/>
      <c r="D43" s="39"/>
      <c r="E43" s="39"/>
      <c r="F43" s="39"/>
      <c r="G43" s="39"/>
      <c r="H43" s="39"/>
      <c r="I43" s="40"/>
      <c r="J43" s="39"/>
      <c r="K43" s="39"/>
      <c r="L43" s="39"/>
      <c r="M43" s="39"/>
      <c r="N43" s="39"/>
      <c r="O43" s="39"/>
      <c r="P43" s="39"/>
    </row>
    <row r="44" customFormat="false" ht="15" hidden="false" customHeight="false" outlineLevel="0" collapsed="false">
      <c r="A44" s="39"/>
      <c r="B44" s="39"/>
      <c r="C44" s="39"/>
      <c r="D44" s="39"/>
      <c r="E44" s="39"/>
      <c r="F44" s="39"/>
      <c r="G44" s="39"/>
      <c r="H44" s="39"/>
      <c r="I44" s="40"/>
      <c r="J44" s="39"/>
      <c r="K44" s="39"/>
      <c r="L44" s="39"/>
      <c r="M44" s="39"/>
      <c r="N44" s="39"/>
      <c r="O44" s="39"/>
      <c r="P44" s="39"/>
    </row>
    <row r="45" customFormat="false" ht="15" hidden="false" customHeight="false" outlineLevel="0" collapsed="false">
      <c r="A45" s="39"/>
      <c r="B45" s="39"/>
      <c r="C45" s="39"/>
      <c r="D45" s="39"/>
      <c r="E45" s="39"/>
      <c r="F45" s="39"/>
      <c r="G45" s="39"/>
      <c r="H45" s="39"/>
      <c r="I45" s="40"/>
      <c r="J45" s="39"/>
      <c r="K45" s="39"/>
      <c r="L45" s="39"/>
      <c r="M45" s="39"/>
      <c r="N45" s="39"/>
      <c r="O45" s="39"/>
      <c r="P45" s="39"/>
    </row>
    <row r="46" customFormat="false" ht="15" hidden="false" customHeight="false" outlineLevel="0" collapsed="false">
      <c r="A46" s="39"/>
      <c r="B46" s="39"/>
      <c r="C46" s="39"/>
      <c r="D46" s="39"/>
      <c r="E46" s="39"/>
      <c r="F46" s="39"/>
      <c r="G46" s="39"/>
      <c r="H46" s="39"/>
      <c r="I46" s="40"/>
      <c r="J46" s="39"/>
      <c r="K46" s="39"/>
      <c r="L46" s="39"/>
      <c r="M46" s="39"/>
      <c r="N46" s="39"/>
      <c r="O46" s="39"/>
      <c r="P46" s="39"/>
    </row>
    <row r="47" customFormat="false" ht="15" hidden="false" customHeight="false" outlineLevel="0" collapsed="false">
      <c r="A47" s="39"/>
      <c r="B47" s="39"/>
      <c r="C47" s="39"/>
      <c r="D47" s="39"/>
      <c r="E47" s="39"/>
      <c r="F47" s="39"/>
      <c r="G47" s="39"/>
      <c r="H47" s="39"/>
      <c r="I47" s="40"/>
      <c r="J47" s="39"/>
      <c r="K47" s="39"/>
      <c r="L47" s="39"/>
      <c r="M47" s="39"/>
      <c r="N47" s="39"/>
      <c r="O47" s="39"/>
      <c r="P47" s="39"/>
    </row>
    <row r="48" customFormat="false" ht="15" hidden="false" customHeight="false" outlineLevel="0" collapsed="false">
      <c r="A48" s="39"/>
      <c r="B48" s="39"/>
      <c r="C48" s="39"/>
      <c r="D48" s="39"/>
      <c r="E48" s="39"/>
      <c r="F48" s="39"/>
      <c r="G48" s="39"/>
      <c r="H48" s="39"/>
      <c r="I48" s="40"/>
      <c r="J48" s="39"/>
      <c r="K48" s="39"/>
      <c r="L48" s="39"/>
      <c r="M48" s="39"/>
      <c r="N48" s="39"/>
      <c r="O48" s="39"/>
      <c r="P48" s="39"/>
    </row>
    <row r="49" customFormat="false" ht="15" hidden="false" customHeight="false" outlineLevel="0" collapsed="false">
      <c r="A49" s="39"/>
      <c r="B49" s="39"/>
      <c r="C49" s="39"/>
      <c r="D49" s="39"/>
      <c r="E49" s="39"/>
      <c r="F49" s="39"/>
      <c r="G49" s="39"/>
      <c r="H49" s="39"/>
      <c r="I49" s="40"/>
      <c r="J49" s="39"/>
      <c r="K49" s="39"/>
      <c r="L49" s="39"/>
      <c r="M49" s="39"/>
      <c r="N49" s="39"/>
      <c r="O49" s="39"/>
      <c r="P49" s="39"/>
    </row>
    <row r="50" customFormat="false" ht="15" hidden="false" customHeight="false" outlineLevel="0" collapsed="false">
      <c r="A50" s="39"/>
      <c r="B50" s="39"/>
      <c r="C50" s="39"/>
      <c r="D50" s="39"/>
      <c r="E50" s="39"/>
      <c r="F50" s="39"/>
      <c r="G50" s="39"/>
      <c r="H50" s="39"/>
      <c r="I50" s="40"/>
      <c r="J50" s="39"/>
      <c r="K50" s="39"/>
      <c r="L50" s="39"/>
      <c r="M50" s="39"/>
      <c r="N50" s="39"/>
      <c r="O50" s="39"/>
      <c r="P50" s="39"/>
    </row>
    <row r="51" customFormat="false" ht="15" hidden="false" customHeight="false" outlineLevel="0" collapsed="false">
      <c r="A51" s="39"/>
      <c r="B51" s="39"/>
      <c r="C51" s="39"/>
      <c r="D51" s="39"/>
      <c r="E51" s="39"/>
      <c r="F51" s="39"/>
      <c r="G51" s="39"/>
      <c r="H51" s="39"/>
      <c r="I51" s="40"/>
      <c r="J51" s="39"/>
      <c r="K51" s="39"/>
      <c r="L51" s="39"/>
      <c r="M51" s="39"/>
      <c r="N51" s="39"/>
      <c r="O51" s="39"/>
      <c r="P51" s="39"/>
    </row>
    <row r="52" customFormat="false" ht="15" hidden="false" customHeight="false" outlineLevel="0" collapsed="false">
      <c r="A52" s="39"/>
      <c r="B52" s="39"/>
      <c r="C52" s="39"/>
      <c r="D52" s="39"/>
      <c r="E52" s="39"/>
      <c r="F52" s="39"/>
      <c r="G52" s="39"/>
      <c r="H52" s="39"/>
      <c r="I52" s="40"/>
      <c r="J52" s="39"/>
      <c r="K52" s="39"/>
      <c r="L52" s="39"/>
      <c r="M52" s="39"/>
      <c r="N52" s="39"/>
      <c r="O52" s="39"/>
      <c r="P52" s="39"/>
    </row>
    <row r="53" customFormat="false" ht="15" hidden="false" customHeight="false" outlineLevel="0" collapsed="false">
      <c r="A53" s="39"/>
      <c r="B53" s="39"/>
      <c r="C53" s="39"/>
      <c r="D53" s="39"/>
      <c r="E53" s="39"/>
      <c r="F53" s="39"/>
      <c r="G53" s="39"/>
      <c r="H53" s="39"/>
      <c r="I53" s="40"/>
      <c r="J53" s="39"/>
      <c r="K53" s="39"/>
      <c r="L53" s="39"/>
      <c r="M53" s="39"/>
      <c r="N53" s="39"/>
      <c r="O53" s="39"/>
      <c r="P53" s="39"/>
    </row>
    <row r="54" customFormat="false" ht="15" hidden="false" customHeight="false" outlineLevel="0" collapsed="false">
      <c r="A54" s="39"/>
      <c r="B54" s="39"/>
      <c r="C54" s="39"/>
      <c r="D54" s="39"/>
      <c r="E54" s="39"/>
      <c r="F54" s="39"/>
      <c r="G54" s="39"/>
      <c r="H54" s="39"/>
      <c r="I54" s="40"/>
      <c r="J54" s="39"/>
      <c r="K54" s="39"/>
      <c r="L54" s="39"/>
      <c r="M54" s="39"/>
      <c r="N54" s="39"/>
      <c r="O54" s="39"/>
      <c r="P54" s="39"/>
    </row>
    <row r="55" customFormat="false" ht="15" hidden="false" customHeight="false" outlineLevel="0" collapsed="false">
      <c r="A55" s="39"/>
      <c r="B55" s="39"/>
      <c r="C55" s="39"/>
      <c r="D55" s="39"/>
      <c r="E55" s="39"/>
      <c r="F55" s="39"/>
      <c r="G55" s="39"/>
      <c r="H55" s="39"/>
      <c r="I55" s="40"/>
      <c r="J55" s="39"/>
      <c r="K55" s="39"/>
      <c r="L55" s="39"/>
      <c r="M55" s="39"/>
      <c r="N55" s="39"/>
      <c r="O55" s="39"/>
      <c r="P55" s="39"/>
    </row>
    <row r="56" customFormat="false" ht="15" hidden="false" customHeight="false" outlineLevel="0" collapsed="false">
      <c r="A56" s="39"/>
      <c r="B56" s="39"/>
      <c r="C56" s="39"/>
      <c r="D56" s="39"/>
      <c r="E56" s="39"/>
      <c r="F56" s="39"/>
      <c r="G56" s="39"/>
      <c r="H56" s="39"/>
      <c r="I56" s="40"/>
      <c r="J56" s="39"/>
      <c r="K56" s="39"/>
      <c r="L56" s="39"/>
      <c r="M56" s="39"/>
      <c r="N56" s="39"/>
      <c r="O56" s="39"/>
      <c r="P56" s="39"/>
    </row>
    <row r="57" customFormat="false" ht="15" hidden="false" customHeight="false" outlineLevel="0" collapsed="false">
      <c r="A57" s="39"/>
      <c r="B57" s="39"/>
      <c r="C57" s="39"/>
      <c r="D57" s="39"/>
      <c r="E57" s="39"/>
      <c r="F57" s="39"/>
      <c r="G57" s="39"/>
      <c r="H57" s="39"/>
      <c r="I57" s="40"/>
      <c r="J57" s="39"/>
      <c r="K57" s="39"/>
      <c r="L57" s="39"/>
      <c r="M57" s="39"/>
      <c r="N57" s="39"/>
      <c r="O57" s="39"/>
      <c r="P57" s="39"/>
    </row>
    <row r="58" customFormat="false" ht="15" hidden="false" customHeight="false" outlineLevel="0" collapsed="false">
      <c r="A58" s="39"/>
      <c r="B58" s="39"/>
      <c r="C58" s="39"/>
      <c r="D58" s="39"/>
      <c r="E58" s="39"/>
      <c r="F58" s="39"/>
      <c r="G58" s="39"/>
      <c r="H58" s="39"/>
      <c r="I58" s="40"/>
      <c r="J58" s="39"/>
      <c r="K58" s="39"/>
      <c r="L58" s="39"/>
      <c r="M58" s="39"/>
      <c r="N58" s="39"/>
      <c r="O58" s="39"/>
      <c r="P58" s="39"/>
    </row>
    <row r="59" customFormat="false" ht="15" hidden="false" customHeight="false" outlineLevel="0" collapsed="false">
      <c r="A59" s="39"/>
      <c r="B59" s="39"/>
      <c r="C59" s="39"/>
      <c r="D59" s="39"/>
      <c r="E59" s="39"/>
      <c r="F59" s="39"/>
      <c r="G59" s="39"/>
      <c r="H59" s="39"/>
      <c r="I59" s="40"/>
      <c r="J59" s="39"/>
      <c r="K59" s="39"/>
      <c r="L59" s="39"/>
      <c r="M59" s="39"/>
      <c r="N59" s="39"/>
      <c r="O59" s="39"/>
      <c r="P59" s="39"/>
    </row>
    <row r="60" customFormat="false" ht="15" hidden="false" customHeight="false" outlineLevel="0" collapsed="false">
      <c r="A60" s="39"/>
      <c r="B60" s="39"/>
      <c r="C60" s="39"/>
      <c r="D60" s="39"/>
      <c r="E60" s="39"/>
      <c r="F60" s="39"/>
      <c r="G60" s="39"/>
      <c r="H60" s="39"/>
      <c r="I60" s="40"/>
      <c r="J60" s="39"/>
      <c r="K60" s="39"/>
      <c r="L60" s="39"/>
      <c r="M60" s="39"/>
      <c r="N60" s="39"/>
      <c r="O60" s="39"/>
      <c r="P60" s="39"/>
    </row>
    <row r="61" customFormat="false" ht="15" hidden="false" customHeight="false" outlineLevel="0" collapsed="false">
      <c r="A61" s="39"/>
      <c r="B61" s="39"/>
      <c r="C61" s="39"/>
      <c r="D61" s="39"/>
      <c r="E61" s="39"/>
      <c r="F61" s="39"/>
      <c r="G61" s="39"/>
      <c r="H61" s="39"/>
      <c r="I61" s="40"/>
      <c r="J61" s="39"/>
      <c r="K61" s="39"/>
      <c r="L61" s="39"/>
      <c r="M61" s="39"/>
      <c r="N61" s="39"/>
      <c r="O61" s="39"/>
      <c r="P61" s="39"/>
    </row>
    <row r="62" customFormat="false" ht="15" hidden="false" customHeight="false" outlineLevel="0" collapsed="false">
      <c r="A62" s="39"/>
      <c r="B62" s="39"/>
      <c r="C62" s="39"/>
      <c r="D62" s="39"/>
      <c r="E62" s="39"/>
      <c r="F62" s="39"/>
      <c r="G62" s="39"/>
      <c r="H62" s="39"/>
      <c r="I62" s="40"/>
      <c r="J62" s="39"/>
      <c r="K62" s="39"/>
      <c r="L62" s="39"/>
      <c r="M62" s="39"/>
      <c r="N62" s="39"/>
      <c r="O62" s="39"/>
      <c r="P62" s="39"/>
    </row>
    <row r="63" customFormat="false" ht="15" hidden="false" customHeight="false" outlineLevel="0" collapsed="false">
      <c r="A63" s="39"/>
      <c r="B63" s="39"/>
      <c r="C63" s="39"/>
      <c r="D63" s="39"/>
      <c r="E63" s="39"/>
      <c r="F63" s="39"/>
      <c r="G63" s="39"/>
      <c r="H63" s="39"/>
      <c r="I63" s="40"/>
      <c r="J63" s="39"/>
      <c r="K63" s="39"/>
      <c r="L63" s="39"/>
      <c r="M63" s="39"/>
      <c r="N63" s="39"/>
      <c r="O63" s="39"/>
      <c r="P63" s="39"/>
    </row>
    <row r="64" customFormat="false" ht="15" hidden="false" customHeight="false" outlineLevel="0" collapsed="false">
      <c r="A64" s="39"/>
      <c r="B64" s="39"/>
      <c r="C64" s="39"/>
      <c r="D64" s="39"/>
      <c r="E64" s="39"/>
      <c r="F64" s="39"/>
      <c r="G64" s="39"/>
      <c r="H64" s="39"/>
      <c r="I64" s="40"/>
      <c r="J64" s="39"/>
      <c r="K64" s="39"/>
      <c r="L64" s="39"/>
      <c r="M64" s="39"/>
      <c r="N64" s="39"/>
      <c r="O64" s="39"/>
      <c r="P64" s="39"/>
    </row>
    <row r="65" customFormat="false" ht="15" hidden="false" customHeight="false" outlineLevel="0" collapsed="false">
      <c r="A65" s="39"/>
      <c r="B65" s="39"/>
      <c r="C65" s="39"/>
      <c r="D65" s="39"/>
      <c r="E65" s="39"/>
      <c r="F65" s="39"/>
      <c r="G65" s="39"/>
      <c r="H65" s="39"/>
      <c r="I65" s="40"/>
      <c r="J65" s="39"/>
      <c r="K65" s="39"/>
      <c r="L65" s="39"/>
      <c r="M65" s="39"/>
      <c r="N65" s="39"/>
      <c r="O65" s="39"/>
      <c r="P65" s="39"/>
    </row>
    <row r="66" customFormat="false" ht="15" hidden="false" customHeight="false" outlineLevel="0" collapsed="false">
      <c r="A66" s="39"/>
      <c r="B66" s="39"/>
      <c r="C66" s="39"/>
      <c r="D66" s="39"/>
      <c r="E66" s="39"/>
      <c r="F66" s="39"/>
      <c r="G66" s="39"/>
      <c r="H66" s="39"/>
      <c r="I66" s="40"/>
      <c r="J66" s="39"/>
      <c r="K66" s="39"/>
      <c r="L66" s="39"/>
      <c r="M66" s="39"/>
      <c r="N66" s="39"/>
      <c r="O66" s="39"/>
      <c r="P66" s="39"/>
    </row>
    <row r="67" customFormat="false" ht="15" hidden="false" customHeight="false" outlineLevel="0" collapsed="false">
      <c r="A67" s="39"/>
      <c r="B67" s="39"/>
      <c r="C67" s="39"/>
      <c r="D67" s="39"/>
      <c r="E67" s="39"/>
      <c r="F67" s="39"/>
      <c r="G67" s="39"/>
      <c r="H67" s="39"/>
      <c r="I67" s="40"/>
      <c r="J67" s="39"/>
      <c r="K67" s="39"/>
      <c r="L67" s="39"/>
      <c r="M67" s="39"/>
      <c r="N67" s="39"/>
      <c r="O67" s="39"/>
      <c r="P67" s="39"/>
    </row>
    <row r="68" customFormat="false" ht="15" hidden="false" customHeight="false" outlineLevel="0" collapsed="false">
      <c r="A68" s="39"/>
      <c r="B68" s="39"/>
      <c r="C68" s="39"/>
      <c r="D68" s="39"/>
      <c r="E68" s="39"/>
      <c r="F68" s="39"/>
      <c r="G68" s="39"/>
      <c r="H68" s="39"/>
      <c r="I68" s="40"/>
      <c r="J68" s="39"/>
      <c r="K68" s="39"/>
      <c r="L68" s="39"/>
      <c r="M68" s="39"/>
      <c r="N68" s="39"/>
      <c r="O68" s="39"/>
      <c r="P68" s="39"/>
    </row>
    <row r="69" customFormat="false" ht="15" hidden="false" customHeight="false" outlineLevel="0" collapsed="false">
      <c r="A69" s="39"/>
      <c r="B69" s="39"/>
      <c r="C69" s="39"/>
      <c r="D69" s="39"/>
      <c r="E69" s="39"/>
      <c r="F69" s="39"/>
      <c r="G69" s="39"/>
      <c r="H69" s="39"/>
      <c r="I69" s="40"/>
      <c r="J69" s="39"/>
      <c r="K69" s="39"/>
      <c r="L69" s="39"/>
      <c r="M69" s="39"/>
      <c r="N69" s="39"/>
      <c r="O69" s="39"/>
      <c r="P69" s="39"/>
    </row>
    <row r="70" customFormat="false" ht="15" hidden="false" customHeight="false" outlineLevel="0" collapsed="false">
      <c r="A70" s="39"/>
      <c r="B70" s="39"/>
      <c r="C70" s="39"/>
      <c r="D70" s="39"/>
      <c r="E70" s="39"/>
      <c r="F70" s="39"/>
      <c r="G70" s="39"/>
      <c r="H70" s="39"/>
      <c r="I70" s="40"/>
      <c r="J70" s="39"/>
      <c r="K70" s="39"/>
      <c r="L70" s="39"/>
      <c r="M70" s="39"/>
      <c r="N70" s="39"/>
      <c r="O70" s="39"/>
      <c r="P70" s="39"/>
    </row>
    <row r="71" customFormat="false" ht="15" hidden="false" customHeight="false" outlineLevel="0" collapsed="false">
      <c r="A71" s="39"/>
      <c r="B71" s="39"/>
      <c r="C71" s="39"/>
      <c r="D71" s="39"/>
      <c r="E71" s="39"/>
      <c r="F71" s="39"/>
      <c r="G71" s="39"/>
      <c r="H71" s="39"/>
      <c r="I71" s="40"/>
      <c r="J71" s="39"/>
      <c r="K71" s="39"/>
      <c r="L71" s="39"/>
      <c r="M71" s="39"/>
      <c r="N71" s="39"/>
      <c r="O71" s="39"/>
      <c r="P71" s="39"/>
    </row>
    <row r="72" customFormat="false" ht="15" hidden="false" customHeight="false" outlineLevel="0" collapsed="false">
      <c r="A72" s="39"/>
      <c r="B72" s="39"/>
      <c r="C72" s="39"/>
      <c r="D72" s="39"/>
      <c r="E72" s="39"/>
      <c r="F72" s="39"/>
      <c r="G72" s="39"/>
      <c r="H72" s="39"/>
      <c r="I72" s="40"/>
      <c r="J72" s="39"/>
      <c r="K72" s="39"/>
      <c r="L72" s="39"/>
      <c r="M72" s="39"/>
      <c r="N72" s="39"/>
      <c r="O72" s="39"/>
      <c r="P72" s="39"/>
    </row>
    <row r="73" customFormat="false" ht="15" hidden="false" customHeight="false" outlineLevel="0" collapsed="false">
      <c r="A73" s="39"/>
      <c r="B73" s="39"/>
      <c r="C73" s="39"/>
      <c r="D73" s="39"/>
      <c r="E73" s="39"/>
      <c r="F73" s="39"/>
      <c r="G73" s="39"/>
      <c r="H73" s="39"/>
      <c r="I73" s="40"/>
      <c r="J73" s="39"/>
      <c r="K73" s="39"/>
      <c r="L73" s="39"/>
      <c r="M73" s="39"/>
      <c r="N73" s="39"/>
      <c r="O73" s="39"/>
      <c r="P73" s="39"/>
    </row>
    <row r="74" customFormat="false" ht="15" hidden="false" customHeight="false" outlineLevel="0" collapsed="false">
      <c r="A74" s="39"/>
      <c r="B74" s="39"/>
      <c r="C74" s="39"/>
      <c r="D74" s="39"/>
      <c r="E74" s="39"/>
      <c r="F74" s="39"/>
      <c r="G74" s="39"/>
      <c r="H74" s="39"/>
      <c r="I74" s="40"/>
      <c r="J74" s="39"/>
      <c r="K74" s="39"/>
      <c r="L74" s="39"/>
      <c r="M74" s="39"/>
      <c r="N74" s="39"/>
      <c r="O74" s="39"/>
      <c r="P74" s="39"/>
    </row>
    <row r="75" customFormat="false" ht="15" hidden="false" customHeight="false" outlineLevel="0" collapsed="false">
      <c r="A75" s="39"/>
      <c r="B75" s="39"/>
      <c r="C75" s="39"/>
      <c r="D75" s="39"/>
      <c r="E75" s="39"/>
      <c r="F75" s="39"/>
      <c r="G75" s="39"/>
      <c r="H75" s="39"/>
      <c r="I75" s="40"/>
      <c r="J75" s="39"/>
      <c r="K75" s="39"/>
      <c r="L75" s="39"/>
      <c r="M75" s="39"/>
      <c r="N75" s="39"/>
      <c r="O75" s="39"/>
      <c r="P75" s="39"/>
    </row>
    <row r="76" customFormat="false" ht="15" hidden="false" customHeight="false" outlineLevel="0" collapsed="false">
      <c r="A76" s="39"/>
      <c r="B76" s="39"/>
      <c r="C76" s="39"/>
      <c r="D76" s="39"/>
      <c r="E76" s="39"/>
      <c r="F76" s="39"/>
      <c r="G76" s="39"/>
      <c r="H76" s="39"/>
      <c r="I76" s="40"/>
      <c r="J76" s="39"/>
      <c r="K76" s="39"/>
      <c r="L76" s="39"/>
      <c r="M76" s="39"/>
      <c r="N76" s="39"/>
      <c r="O76" s="39"/>
      <c r="P76" s="39"/>
    </row>
    <row r="77" customFormat="false" ht="15" hidden="false" customHeight="false" outlineLevel="0" collapsed="false">
      <c r="A77" s="39"/>
      <c r="B77" s="39"/>
      <c r="C77" s="39"/>
      <c r="D77" s="39"/>
      <c r="E77" s="39"/>
      <c r="F77" s="39"/>
      <c r="G77" s="39"/>
      <c r="H77" s="39"/>
      <c r="I77" s="40"/>
      <c r="J77" s="39"/>
      <c r="K77" s="39"/>
      <c r="L77" s="39"/>
      <c r="M77" s="39"/>
      <c r="N77" s="39"/>
      <c r="O77" s="39"/>
      <c r="P77" s="39"/>
    </row>
    <row r="78" customFormat="false" ht="15" hidden="false" customHeight="false" outlineLevel="0" collapsed="false">
      <c r="A78" s="39"/>
      <c r="B78" s="39"/>
      <c r="C78" s="39"/>
      <c r="D78" s="39"/>
      <c r="E78" s="39"/>
      <c r="F78" s="39"/>
      <c r="G78" s="39"/>
      <c r="H78" s="39"/>
      <c r="I78" s="40"/>
      <c r="J78" s="39"/>
      <c r="K78" s="39"/>
      <c r="L78" s="39"/>
      <c r="M78" s="39"/>
      <c r="N78" s="39"/>
      <c r="O78" s="39"/>
      <c r="P78" s="39"/>
    </row>
    <row r="79" customFormat="false" ht="15" hidden="false" customHeight="false" outlineLevel="0" collapsed="false">
      <c r="A79" s="39"/>
      <c r="B79" s="39"/>
      <c r="C79" s="39"/>
      <c r="D79" s="39"/>
      <c r="E79" s="39"/>
      <c r="F79" s="39"/>
      <c r="G79" s="39"/>
      <c r="H79" s="39"/>
      <c r="I79" s="40"/>
      <c r="J79" s="39"/>
      <c r="K79" s="39"/>
      <c r="L79" s="39"/>
      <c r="M79" s="39"/>
      <c r="N79" s="39"/>
      <c r="O79" s="39"/>
      <c r="P79" s="39"/>
    </row>
    <row r="80" customFormat="false" ht="15" hidden="false" customHeight="false" outlineLevel="0" collapsed="false">
      <c r="A80" s="39"/>
      <c r="B80" s="39"/>
      <c r="C80" s="39"/>
      <c r="D80" s="39"/>
      <c r="E80" s="39"/>
      <c r="F80" s="39"/>
      <c r="G80" s="39"/>
      <c r="H80" s="39"/>
      <c r="I80" s="40"/>
      <c r="J80" s="39"/>
      <c r="K80" s="39"/>
      <c r="L80" s="39"/>
      <c r="M80" s="39"/>
      <c r="N80" s="39"/>
      <c r="O80" s="39"/>
      <c r="P80" s="39"/>
    </row>
    <row r="81" customFormat="false" ht="15" hidden="false" customHeight="false" outlineLevel="0" collapsed="false">
      <c r="A81" s="39"/>
      <c r="B81" s="39"/>
      <c r="C81" s="39"/>
      <c r="D81" s="39"/>
      <c r="E81" s="39"/>
      <c r="F81" s="39"/>
      <c r="G81" s="39"/>
      <c r="H81" s="39"/>
      <c r="I81" s="40"/>
      <c r="J81" s="39"/>
      <c r="K81" s="39"/>
      <c r="L81" s="39"/>
      <c r="M81" s="39"/>
      <c r="N81" s="39"/>
      <c r="O81" s="39"/>
      <c r="P81" s="39"/>
    </row>
    <row r="82" customFormat="false" ht="15" hidden="false" customHeight="false" outlineLevel="0" collapsed="false">
      <c r="A82" s="39"/>
      <c r="B82" s="39"/>
      <c r="C82" s="39"/>
      <c r="D82" s="39"/>
      <c r="E82" s="39"/>
      <c r="F82" s="39"/>
      <c r="G82" s="39"/>
      <c r="H82" s="39"/>
      <c r="I82" s="40"/>
      <c r="J82" s="39"/>
      <c r="K82" s="39"/>
      <c r="L82" s="39"/>
      <c r="M82" s="39"/>
      <c r="N82" s="39"/>
      <c r="O82" s="39"/>
      <c r="P82" s="39"/>
    </row>
    <row r="83" customFormat="false" ht="15" hidden="false" customHeight="false" outlineLevel="0" collapsed="false">
      <c r="A83" s="39"/>
      <c r="B83" s="39"/>
      <c r="C83" s="39"/>
      <c r="D83" s="39"/>
      <c r="E83" s="39"/>
      <c r="F83" s="39"/>
      <c r="G83" s="39"/>
      <c r="H83" s="39"/>
      <c r="I83" s="40"/>
      <c r="J83" s="39"/>
      <c r="K83" s="39"/>
      <c r="L83" s="39"/>
      <c r="M83" s="39"/>
      <c r="N83" s="39"/>
      <c r="O83" s="39"/>
      <c r="P83" s="39"/>
    </row>
    <row r="84" customFormat="false" ht="15" hidden="false" customHeight="false" outlineLevel="0" collapsed="false">
      <c r="A84" s="39"/>
      <c r="B84" s="39"/>
      <c r="C84" s="39"/>
      <c r="D84" s="39"/>
      <c r="E84" s="39"/>
      <c r="F84" s="39"/>
      <c r="G84" s="39"/>
      <c r="H84" s="39"/>
      <c r="I84" s="40"/>
      <c r="J84" s="39"/>
      <c r="K84" s="39"/>
      <c r="L84" s="39"/>
      <c r="M84" s="39"/>
      <c r="N84" s="39"/>
      <c r="O84" s="39"/>
      <c r="P84" s="39"/>
    </row>
    <row r="85" customFormat="false" ht="15" hidden="false" customHeight="false" outlineLevel="0" collapsed="false">
      <c r="A85" s="39"/>
      <c r="B85" s="39"/>
      <c r="C85" s="39"/>
      <c r="D85" s="39"/>
      <c r="E85" s="39"/>
      <c r="F85" s="39"/>
      <c r="G85" s="39"/>
      <c r="H85" s="39"/>
      <c r="I85" s="40"/>
      <c r="J85" s="39"/>
      <c r="K85" s="39"/>
      <c r="L85" s="39"/>
      <c r="M85" s="39"/>
      <c r="N85" s="39"/>
      <c r="O85" s="39"/>
      <c r="P85" s="39"/>
    </row>
    <row r="86" customFormat="false" ht="15" hidden="false" customHeight="false" outlineLevel="0" collapsed="false">
      <c r="A86" s="39"/>
      <c r="B86" s="39"/>
      <c r="C86" s="39"/>
      <c r="D86" s="39"/>
      <c r="E86" s="39"/>
      <c r="F86" s="39"/>
      <c r="G86" s="39"/>
      <c r="H86" s="39"/>
      <c r="I86" s="40"/>
      <c r="J86" s="39"/>
      <c r="K86" s="39"/>
      <c r="L86" s="39"/>
      <c r="M86" s="39"/>
      <c r="N86" s="39"/>
      <c r="O86" s="39"/>
      <c r="P86" s="39"/>
    </row>
    <row r="87" customFormat="false" ht="15" hidden="false" customHeight="false" outlineLevel="0" collapsed="false">
      <c r="A87" s="39"/>
      <c r="B87" s="39"/>
      <c r="C87" s="39"/>
      <c r="D87" s="39"/>
      <c r="E87" s="39"/>
      <c r="F87" s="39"/>
      <c r="G87" s="39"/>
      <c r="H87" s="39"/>
      <c r="I87" s="40"/>
      <c r="J87" s="39"/>
      <c r="K87" s="39"/>
      <c r="L87" s="39"/>
      <c r="M87" s="39"/>
      <c r="N87" s="39"/>
      <c r="O87" s="39"/>
      <c r="P87" s="39"/>
    </row>
    <row r="88" customFormat="false" ht="15" hidden="false" customHeight="false" outlineLevel="0" collapsed="false">
      <c r="A88" s="39"/>
      <c r="B88" s="39"/>
      <c r="C88" s="39"/>
      <c r="D88" s="39"/>
      <c r="E88" s="39"/>
      <c r="F88" s="39"/>
      <c r="G88" s="39"/>
      <c r="H88" s="39"/>
      <c r="I88" s="40"/>
      <c r="J88" s="39"/>
      <c r="K88" s="39"/>
      <c r="L88" s="39"/>
      <c r="M88" s="39"/>
      <c r="N88" s="39"/>
      <c r="O88" s="39"/>
      <c r="P88" s="39"/>
    </row>
    <row r="89" customFormat="false" ht="15" hidden="false" customHeight="false" outlineLevel="0" collapsed="false">
      <c r="A89" s="39"/>
      <c r="B89" s="39"/>
      <c r="C89" s="39"/>
      <c r="D89" s="39"/>
      <c r="E89" s="39"/>
      <c r="F89" s="39"/>
      <c r="G89" s="39"/>
      <c r="H89" s="39"/>
      <c r="I89" s="40"/>
      <c r="J89" s="39"/>
      <c r="K89" s="39"/>
      <c r="L89" s="39"/>
      <c r="M89" s="39"/>
      <c r="N89" s="39"/>
      <c r="O89" s="39"/>
      <c r="P89" s="39"/>
    </row>
    <row r="90" customFormat="false" ht="15" hidden="false" customHeight="false" outlineLevel="0" collapsed="false">
      <c r="A90" s="39"/>
      <c r="B90" s="39"/>
      <c r="C90" s="39"/>
      <c r="D90" s="39"/>
      <c r="E90" s="39"/>
      <c r="F90" s="39"/>
      <c r="G90" s="39"/>
      <c r="H90" s="39"/>
      <c r="I90" s="40"/>
      <c r="J90" s="39"/>
      <c r="K90" s="39"/>
      <c r="L90" s="39"/>
      <c r="M90" s="39"/>
      <c r="N90" s="39"/>
      <c r="O90" s="39"/>
      <c r="P90" s="39"/>
    </row>
    <row r="91" customFormat="false" ht="15" hidden="false" customHeight="false" outlineLevel="0" collapsed="false">
      <c r="A91" s="39"/>
      <c r="B91" s="39"/>
      <c r="C91" s="39"/>
      <c r="D91" s="39"/>
      <c r="E91" s="39"/>
      <c r="F91" s="39"/>
      <c r="G91" s="39"/>
      <c r="H91" s="39"/>
      <c r="I91" s="40"/>
      <c r="J91" s="39"/>
      <c r="K91" s="39"/>
      <c r="L91" s="39"/>
      <c r="M91" s="39"/>
      <c r="N91" s="39"/>
      <c r="O91" s="39"/>
      <c r="P91" s="39"/>
    </row>
    <row r="92" customFormat="false" ht="15" hidden="false" customHeight="false" outlineLevel="0" collapsed="false">
      <c r="A92" s="39"/>
      <c r="B92" s="39"/>
      <c r="C92" s="39"/>
      <c r="D92" s="39"/>
      <c r="E92" s="39"/>
      <c r="F92" s="39"/>
      <c r="G92" s="39"/>
      <c r="H92" s="39"/>
      <c r="I92" s="40"/>
      <c r="J92" s="39"/>
      <c r="K92" s="39"/>
      <c r="L92" s="39"/>
      <c r="M92" s="39"/>
      <c r="N92" s="39"/>
      <c r="O92" s="39"/>
      <c r="P92" s="39"/>
    </row>
    <row r="93" customFormat="false" ht="15" hidden="false" customHeight="false" outlineLevel="0" collapsed="false">
      <c r="A93" s="39"/>
      <c r="B93" s="39"/>
      <c r="C93" s="39"/>
      <c r="D93" s="39"/>
      <c r="E93" s="39"/>
      <c r="F93" s="39"/>
      <c r="G93" s="39"/>
      <c r="H93" s="39"/>
      <c r="I93" s="40"/>
      <c r="J93" s="39"/>
      <c r="K93" s="39"/>
      <c r="L93" s="39"/>
      <c r="M93" s="39"/>
      <c r="N93" s="39"/>
      <c r="O93" s="39"/>
      <c r="P93" s="39"/>
    </row>
    <row r="94" customFormat="false" ht="15" hidden="false" customHeight="false" outlineLevel="0" collapsed="false">
      <c r="A94" s="39"/>
      <c r="B94" s="39"/>
      <c r="C94" s="39"/>
      <c r="D94" s="39"/>
      <c r="E94" s="39"/>
      <c r="F94" s="39"/>
      <c r="G94" s="39"/>
      <c r="H94" s="39"/>
      <c r="I94" s="40"/>
      <c r="J94" s="39"/>
      <c r="K94" s="39"/>
      <c r="L94" s="39"/>
      <c r="M94" s="39"/>
      <c r="N94" s="39"/>
      <c r="O94" s="39"/>
      <c r="P94" s="39"/>
    </row>
    <row r="95" customFormat="false" ht="15" hidden="false" customHeight="false" outlineLevel="0" collapsed="false">
      <c r="A95" s="39"/>
      <c r="B95" s="39"/>
      <c r="C95" s="39"/>
      <c r="D95" s="39"/>
      <c r="E95" s="39"/>
      <c r="F95" s="39"/>
      <c r="G95" s="39"/>
      <c r="H95" s="39"/>
      <c r="I95" s="40"/>
      <c r="J95" s="39"/>
      <c r="K95" s="39"/>
      <c r="L95" s="39"/>
      <c r="M95" s="39"/>
      <c r="N95" s="39"/>
      <c r="O95" s="39"/>
      <c r="P95" s="39"/>
    </row>
    <row r="96" customFormat="false" ht="15" hidden="false" customHeight="false" outlineLevel="0" collapsed="false">
      <c r="A96" s="39"/>
      <c r="B96" s="39"/>
      <c r="C96" s="39"/>
      <c r="D96" s="39"/>
      <c r="E96" s="39"/>
      <c r="F96" s="39"/>
      <c r="G96" s="39"/>
      <c r="H96" s="39"/>
      <c r="I96" s="40"/>
      <c r="J96" s="39"/>
      <c r="K96" s="39"/>
      <c r="L96" s="39"/>
      <c r="M96" s="39"/>
      <c r="N96" s="39"/>
      <c r="O96" s="39"/>
      <c r="P96" s="39"/>
    </row>
    <row r="97" customFormat="false" ht="15" hidden="false" customHeight="false" outlineLevel="0" collapsed="false">
      <c r="A97" s="39"/>
      <c r="B97" s="39"/>
      <c r="C97" s="39"/>
      <c r="D97" s="39"/>
      <c r="E97" s="39"/>
      <c r="F97" s="39"/>
      <c r="G97" s="39"/>
      <c r="H97" s="39"/>
      <c r="I97" s="40"/>
      <c r="J97" s="39"/>
      <c r="K97" s="39"/>
      <c r="L97" s="39"/>
      <c r="M97" s="39"/>
      <c r="N97" s="39"/>
      <c r="O97" s="39"/>
      <c r="P97" s="39"/>
    </row>
    <row r="98" customFormat="false" ht="15" hidden="false" customHeight="false" outlineLevel="0" collapsed="false">
      <c r="A98" s="39"/>
      <c r="B98" s="39"/>
      <c r="C98" s="39"/>
      <c r="D98" s="39"/>
      <c r="E98" s="39"/>
      <c r="F98" s="39"/>
      <c r="G98" s="39"/>
      <c r="H98" s="39"/>
      <c r="I98" s="40"/>
      <c r="J98" s="39"/>
      <c r="K98" s="39"/>
      <c r="L98" s="39"/>
      <c r="M98" s="39"/>
      <c r="N98" s="39"/>
      <c r="O98" s="39"/>
      <c r="P98" s="39"/>
    </row>
    <row r="99" customFormat="false" ht="15" hidden="false" customHeight="false" outlineLevel="0" collapsed="false">
      <c r="A99" s="39"/>
      <c r="B99" s="39"/>
      <c r="C99" s="39"/>
      <c r="D99" s="39"/>
      <c r="E99" s="39"/>
      <c r="F99" s="39"/>
      <c r="G99" s="39"/>
      <c r="H99" s="39"/>
      <c r="I99" s="40"/>
      <c r="J99" s="39"/>
      <c r="K99" s="39"/>
      <c r="L99" s="39"/>
      <c r="M99" s="39"/>
      <c r="N99" s="39"/>
      <c r="O99" s="39"/>
      <c r="P99" s="39"/>
    </row>
    <row r="100" customFormat="false" ht="15" hidden="false" customHeight="false" outlineLevel="0" collapsed="false">
      <c r="A100" s="39"/>
      <c r="B100" s="39"/>
      <c r="C100" s="39"/>
      <c r="D100" s="39"/>
      <c r="E100" s="39"/>
      <c r="F100" s="39"/>
      <c r="G100" s="39"/>
      <c r="H100" s="39"/>
      <c r="I100" s="40"/>
      <c r="J100" s="39"/>
      <c r="K100" s="39"/>
      <c r="L100" s="39"/>
      <c r="M100" s="39"/>
      <c r="N100" s="39"/>
      <c r="O100" s="39"/>
      <c r="P100" s="39"/>
    </row>
    <row r="101" customFormat="false" ht="15" hidden="false" customHeight="false" outlineLevel="0" collapsed="false">
      <c r="A101" s="39"/>
      <c r="B101" s="39"/>
      <c r="C101" s="39"/>
      <c r="D101" s="39"/>
      <c r="E101" s="39"/>
      <c r="F101" s="39"/>
      <c r="G101" s="39"/>
      <c r="H101" s="39"/>
      <c r="I101" s="40"/>
      <c r="J101" s="39"/>
      <c r="K101" s="39"/>
      <c r="L101" s="39"/>
      <c r="M101" s="39"/>
      <c r="N101" s="39"/>
      <c r="O101" s="39"/>
      <c r="P101" s="39"/>
    </row>
    <row r="102" customFormat="false" ht="15" hidden="false" customHeight="false" outlineLevel="0" collapsed="false">
      <c r="A102" s="39"/>
      <c r="B102" s="39"/>
      <c r="C102" s="39"/>
      <c r="D102" s="39"/>
      <c r="E102" s="39"/>
      <c r="F102" s="39"/>
      <c r="G102" s="39"/>
      <c r="H102" s="39"/>
      <c r="I102" s="40"/>
      <c r="J102" s="39"/>
      <c r="K102" s="39"/>
      <c r="L102" s="39"/>
      <c r="M102" s="39"/>
      <c r="N102" s="39"/>
      <c r="O102" s="39"/>
      <c r="P102" s="39"/>
    </row>
    <row r="103" customFormat="false" ht="15" hidden="false" customHeight="false" outlineLevel="0" collapsed="false">
      <c r="A103" s="39"/>
      <c r="B103" s="39"/>
      <c r="C103" s="39"/>
      <c r="D103" s="39"/>
      <c r="E103" s="39"/>
      <c r="F103" s="39"/>
      <c r="G103" s="39"/>
      <c r="H103" s="39"/>
      <c r="I103" s="40"/>
      <c r="J103" s="39"/>
      <c r="K103" s="39"/>
      <c r="L103" s="39"/>
      <c r="M103" s="39"/>
      <c r="N103" s="39"/>
      <c r="O103" s="39"/>
      <c r="P103" s="39"/>
    </row>
    <row r="104" customFormat="false" ht="15" hidden="false" customHeight="false" outlineLevel="0" collapsed="false">
      <c r="A104" s="39"/>
      <c r="B104" s="39"/>
      <c r="C104" s="39"/>
      <c r="D104" s="39"/>
      <c r="E104" s="39"/>
      <c r="F104" s="39"/>
      <c r="G104" s="39"/>
      <c r="H104" s="39"/>
      <c r="I104" s="40"/>
      <c r="J104" s="39"/>
      <c r="K104" s="39"/>
      <c r="L104" s="39"/>
      <c r="M104" s="39"/>
      <c r="N104" s="39"/>
      <c r="O104" s="39"/>
      <c r="P104" s="39"/>
    </row>
    <row r="105" customFormat="false" ht="15" hidden="false" customHeight="false" outlineLevel="0" collapsed="false">
      <c r="A105" s="39"/>
      <c r="B105" s="39"/>
      <c r="C105" s="39"/>
      <c r="D105" s="39"/>
      <c r="E105" s="39"/>
      <c r="F105" s="39"/>
      <c r="G105" s="39"/>
      <c r="H105" s="39"/>
      <c r="I105" s="40"/>
      <c r="J105" s="39"/>
      <c r="K105" s="39"/>
      <c r="L105" s="39"/>
      <c r="M105" s="39"/>
      <c r="N105" s="39"/>
      <c r="O105" s="39"/>
      <c r="P105" s="39"/>
    </row>
  </sheetData>
  <mergeCells count="2">
    <mergeCell ref="A1:P1"/>
    <mergeCell ref="A2:P2"/>
  </mergeCells>
  <dataValidations count="6">
    <dataValidation allowBlank="true" error="Enter a number (hours, days, or GB as the header says)." errorStyle="stop" errorTitle="Number required" operator="greaterThanOrEqual" showDropDown="false" showErrorMessage="true" showInputMessage="false" sqref="I5:I105" type="decimal">
      <formula1>0</formula1>
      <formula2>0</formula2>
    </dataValidation>
    <dataValidation allowBlank="true" errorStyle="stop" operator="between" showDropDown="false" showErrorMessage="false" showInputMessage="false" sqref="G5:G105" type="list">
      <formula1>Classification</formula1>
      <formula2>0</formula2>
    </dataValidation>
    <dataValidation allowBlank="true" errorStyle="stop" operator="between" showDropDown="false" showErrorMessage="false" showInputMessage="false" sqref="H5:H105" type="list">
      <formula1>Regulatory</formula1>
      <formula2>0</formula2>
    </dataValidation>
    <dataValidation allowBlank="true" errorStyle="stop" operator="between" showDropDown="false" showErrorMessage="false" showInputMessage="false" sqref="L5:L105" type="list">
      <formula1>YesNo</formula1>
      <formula2>0</formula2>
    </dataValidation>
    <dataValidation allowBlank="true" errorStyle="stop" operator="between" showDropDown="false" showErrorMessage="false" showInputMessage="false" sqref="M5:M105" type="list">
      <formula1>YesNo</formula1>
      <formula2>0</formula2>
    </dataValidation>
    <dataValidation allowBlank="true" errorStyle="stop" operator="between" showDropDown="false" showErrorMessage="false" showInputMessage="false" sqref="O5:O105" type="list">
      <formula1>YesNo</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&amp;A&amp;R&amp;8 Powered by MSP Culture  |  v1.0  |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8FF"/>
    <pageSetUpPr fitToPage="true"/>
  </sheetPr>
  <dimension ref="A1:P1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4"/>
    <col collapsed="false" customWidth="true" hidden="false" outlineLevel="0" max="4" min="4" style="0" width="20"/>
    <col collapsed="false" customWidth="true" hidden="false" outlineLevel="0" max="5" min="5" style="0" width="18"/>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6"/>
    <col collapsed="false" customWidth="true" hidden="false" outlineLevel="0" max="10" min="10" style="0" width="14"/>
    <col collapsed="false" customWidth="true" hidden="false" outlineLevel="0" max="11" min="11" style="0" width="12"/>
    <col collapsed="false" customWidth="true" hidden="false" outlineLevel="0" max="12" min="12" style="0" width="16"/>
    <col collapsed="false" customWidth="true" hidden="false" outlineLevel="0" max="13" min="13" style="0" width="18"/>
    <col collapsed="false" customWidth="true" hidden="false" outlineLevel="0" max="14" min="14" style="0" width="10"/>
    <col collapsed="false" customWidth="true" hidden="false" outlineLevel="0" max="16" min="15" style="0" width="22"/>
  </cols>
  <sheetData>
    <row r="1" customFormat="false" ht="33.75" hidden="false" customHeight="true" outlineLevel="0" collapsed="false">
      <c r="A1" s="26" t="str">
        <f aca="false">IF(PreparedFor="","Infrastructure Inventory","Infrastructure Inventory  |  "&amp;PreparedFor)</f>
        <v>Infrastructure Inventory</v>
      </c>
      <c r="B1" s="26"/>
      <c r="C1" s="26"/>
      <c r="D1" s="26"/>
      <c r="E1" s="26"/>
      <c r="F1" s="26"/>
      <c r="G1" s="26"/>
      <c r="H1" s="26"/>
      <c r="I1" s="26"/>
      <c r="J1" s="26"/>
      <c r="K1" s="26"/>
      <c r="L1" s="26"/>
      <c r="M1" s="26"/>
      <c r="N1" s="26"/>
      <c r="O1" s="26"/>
      <c r="P1" s="26"/>
    </row>
    <row r="2" customFormat="false" ht="48" hidden="false" customHeight="true" outlineLevel="0" collapsed="false">
      <c r="A2" s="27" t="s">
        <v>259</v>
      </c>
      <c r="B2" s="27"/>
      <c r="C2" s="27"/>
      <c r="D2" s="27"/>
      <c r="E2" s="27"/>
      <c r="F2" s="27"/>
      <c r="G2" s="27"/>
      <c r="H2" s="27"/>
      <c r="I2" s="27"/>
      <c r="J2" s="27"/>
      <c r="K2" s="27"/>
      <c r="L2" s="27"/>
      <c r="M2" s="27"/>
      <c r="N2" s="27"/>
      <c r="O2" s="27"/>
      <c r="P2" s="27"/>
    </row>
    <row r="3" customFormat="false" ht="42" hidden="false" customHeight="true" outlineLevel="0" collapsed="false">
      <c r="A3" s="33" t="s">
        <v>260</v>
      </c>
      <c r="B3" s="33" t="s">
        <v>261</v>
      </c>
      <c r="C3" s="33" t="s">
        <v>262</v>
      </c>
      <c r="D3" s="33" t="s">
        <v>263</v>
      </c>
      <c r="E3" s="33" t="s">
        <v>264</v>
      </c>
      <c r="F3" s="33" t="s">
        <v>265</v>
      </c>
      <c r="G3" s="33" t="s">
        <v>266</v>
      </c>
      <c r="H3" s="33" t="s">
        <v>267</v>
      </c>
      <c r="I3" s="33" t="s">
        <v>268</v>
      </c>
      <c r="J3" s="33" t="s">
        <v>269</v>
      </c>
      <c r="K3" s="33" t="s">
        <v>270</v>
      </c>
      <c r="L3" s="33" t="s">
        <v>271</v>
      </c>
      <c r="M3" s="33" t="s">
        <v>272</v>
      </c>
      <c r="N3" s="33" t="s">
        <v>273</v>
      </c>
      <c r="O3" s="33" t="s">
        <v>274</v>
      </c>
      <c r="P3" s="33" t="s">
        <v>177</v>
      </c>
    </row>
    <row r="4" customFormat="false" ht="66" hidden="false" customHeight="true" outlineLevel="0" collapsed="false">
      <c r="A4" s="35"/>
      <c r="B4" s="35"/>
      <c r="C4" s="35"/>
      <c r="D4" s="35"/>
      <c r="E4" s="35"/>
      <c r="F4" s="35"/>
      <c r="G4" s="35"/>
      <c r="H4" s="35"/>
      <c r="I4" s="35"/>
      <c r="J4" s="35"/>
      <c r="K4" s="35" t="s">
        <v>275</v>
      </c>
      <c r="L4" s="35"/>
      <c r="M4" s="35"/>
      <c r="N4" s="35" t="s">
        <v>276</v>
      </c>
      <c r="O4" s="35"/>
      <c r="P4" s="35"/>
    </row>
    <row r="5" customFormat="false" ht="22.35" hidden="false" customHeight="false" outlineLevel="0" collapsed="false">
      <c r="A5" s="36" t="s">
        <v>277</v>
      </c>
      <c r="B5" s="36" t="s">
        <v>278</v>
      </c>
      <c r="C5" s="36" t="s">
        <v>279</v>
      </c>
      <c r="D5" s="36" t="s">
        <v>280</v>
      </c>
      <c r="E5" s="36" t="s">
        <v>281</v>
      </c>
      <c r="F5" s="36" t="s">
        <v>282</v>
      </c>
      <c r="G5" s="36" t="s">
        <v>283</v>
      </c>
      <c r="H5" s="36" t="s">
        <v>284</v>
      </c>
      <c r="I5" s="36" t="s">
        <v>285</v>
      </c>
      <c r="J5" s="36" t="s">
        <v>286</v>
      </c>
      <c r="K5" s="42"/>
      <c r="L5" s="36" t="s">
        <v>287</v>
      </c>
      <c r="M5" s="36" t="s">
        <v>288</v>
      </c>
      <c r="N5" s="36" t="s">
        <v>286</v>
      </c>
      <c r="O5" s="36" t="s">
        <v>289</v>
      </c>
      <c r="P5" s="36"/>
    </row>
    <row r="6" customFormat="false" ht="15" hidden="false" customHeight="false" outlineLevel="0" collapsed="false">
      <c r="A6" s="39"/>
      <c r="B6" s="39"/>
      <c r="C6" s="39"/>
      <c r="D6" s="39"/>
      <c r="E6" s="39"/>
      <c r="F6" s="39"/>
      <c r="G6" s="39"/>
      <c r="H6" s="39"/>
      <c r="I6" s="39"/>
      <c r="J6" s="39"/>
      <c r="K6" s="43"/>
      <c r="L6" s="39"/>
      <c r="M6" s="39"/>
      <c r="N6" s="39"/>
      <c r="O6" s="39"/>
      <c r="P6" s="39"/>
    </row>
    <row r="7" customFormat="false" ht="15" hidden="false" customHeight="false" outlineLevel="0" collapsed="false">
      <c r="A7" s="39"/>
      <c r="B7" s="39"/>
      <c r="C7" s="39"/>
      <c r="D7" s="39"/>
      <c r="E7" s="39"/>
      <c r="F7" s="39"/>
      <c r="G7" s="39"/>
      <c r="H7" s="39"/>
      <c r="I7" s="39"/>
      <c r="J7" s="39"/>
      <c r="K7" s="43"/>
      <c r="L7" s="39"/>
      <c r="M7" s="39"/>
      <c r="N7" s="39"/>
      <c r="O7" s="39"/>
      <c r="P7" s="39"/>
    </row>
    <row r="8" customFormat="false" ht="15" hidden="false" customHeight="false" outlineLevel="0" collapsed="false">
      <c r="A8" s="39"/>
      <c r="B8" s="39"/>
      <c r="C8" s="39"/>
      <c r="D8" s="39"/>
      <c r="E8" s="39"/>
      <c r="F8" s="39"/>
      <c r="G8" s="39"/>
      <c r="H8" s="39"/>
      <c r="I8" s="39"/>
      <c r="J8" s="39"/>
      <c r="K8" s="43"/>
      <c r="L8" s="39"/>
      <c r="M8" s="39"/>
      <c r="N8" s="39"/>
      <c r="O8" s="39"/>
      <c r="P8" s="39"/>
    </row>
    <row r="9" customFormat="false" ht="15" hidden="false" customHeight="false" outlineLevel="0" collapsed="false">
      <c r="A9" s="39"/>
      <c r="B9" s="39"/>
      <c r="C9" s="39"/>
      <c r="D9" s="39"/>
      <c r="E9" s="39"/>
      <c r="F9" s="39"/>
      <c r="G9" s="39"/>
      <c r="H9" s="39"/>
      <c r="I9" s="39"/>
      <c r="J9" s="39"/>
      <c r="K9" s="43"/>
      <c r="L9" s="39"/>
      <c r="M9" s="39"/>
      <c r="N9" s="39"/>
      <c r="O9" s="39"/>
      <c r="P9" s="39"/>
    </row>
    <row r="10" customFormat="false" ht="15" hidden="false" customHeight="false" outlineLevel="0" collapsed="false">
      <c r="A10" s="39"/>
      <c r="B10" s="39"/>
      <c r="C10" s="39"/>
      <c r="D10" s="39"/>
      <c r="E10" s="39"/>
      <c r="F10" s="39"/>
      <c r="G10" s="39"/>
      <c r="H10" s="39"/>
      <c r="I10" s="39"/>
      <c r="J10" s="39"/>
      <c r="K10" s="43"/>
      <c r="L10" s="39"/>
      <c r="M10" s="39"/>
      <c r="N10" s="39"/>
      <c r="O10" s="39"/>
      <c r="P10" s="39"/>
    </row>
    <row r="11" customFormat="false" ht="15" hidden="false" customHeight="false" outlineLevel="0" collapsed="false">
      <c r="A11" s="39"/>
      <c r="B11" s="39"/>
      <c r="C11" s="39"/>
      <c r="D11" s="39"/>
      <c r="E11" s="39"/>
      <c r="F11" s="39"/>
      <c r="G11" s="39"/>
      <c r="H11" s="39"/>
      <c r="I11" s="39"/>
      <c r="J11" s="39"/>
      <c r="K11" s="43"/>
      <c r="L11" s="39"/>
      <c r="M11" s="39"/>
      <c r="N11" s="39"/>
      <c r="O11" s="39"/>
      <c r="P11" s="39"/>
    </row>
    <row r="12" customFormat="false" ht="15" hidden="false" customHeight="false" outlineLevel="0" collapsed="false">
      <c r="A12" s="39"/>
      <c r="B12" s="39"/>
      <c r="C12" s="39"/>
      <c r="D12" s="39"/>
      <c r="E12" s="39"/>
      <c r="F12" s="39"/>
      <c r="G12" s="39"/>
      <c r="H12" s="39"/>
      <c r="I12" s="39"/>
      <c r="J12" s="39"/>
      <c r="K12" s="43"/>
      <c r="L12" s="39"/>
      <c r="M12" s="39"/>
      <c r="N12" s="39"/>
      <c r="O12" s="39"/>
      <c r="P12" s="39"/>
    </row>
    <row r="13" customFormat="false" ht="15" hidden="false" customHeight="false" outlineLevel="0" collapsed="false">
      <c r="A13" s="39"/>
      <c r="B13" s="39"/>
      <c r="C13" s="39"/>
      <c r="D13" s="39"/>
      <c r="E13" s="39"/>
      <c r="F13" s="39"/>
      <c r="G13" s="39"/>
      <c r="H13" s="39"/>
      <c r="I13" s="39"/>
      <c r="J13" s="39"/>
      <c r="K13" s="43"/>
      <c r="L13" s="39"/>
      <c r="M13" s="39"/>
      <c r="N13" s="39"/>
      <c r="O13" s="39"/>
      <c r="P13" s="39"/>
    </row>
    <row r="14" customFormat="false" ht="15" hidden="false" customHeight="false" outlineLevel="0" collapsed="false">
      <c r="A14" s="39"/>
      <c r="B14" s="39"/>
      <c r="C14" s="39"/>
      <c r="D14" s="39"/>
      <c r="E14" s="39"/>
      <c r="F14" s="39"/>
      <c r="G14" s="39"/>
      <c r="H14" s="39"/>
      <c r="I14" s="39"/>
      <c r="J14" s="39"/>
      <c r="K14" s="43"/>
      <c r="L14" s="39"/>
      <c r="M14" s="39"/>
      <c r="N14" s="39"/>
      <c r="O14" s="39"/>
      <c r="P14" s="39"/>
    </row>
    <row r="15" customFormat="false" ht="15" hidden="false" customHeight="false" outlineLevel="0" collapsed="false">
      <c r="A15" s="39"/>
      <c r="B15" s="39"/>
      <c r="C15" s="39"/>
      <c r="D15" s="39"/>
      <c r="E15" s="39"/>
      <c r="F15" s="39"/>
      <c r="G15" s="39"/>
      <c r="H15" s="39"/>
      <c r="I15" s="39"/>
      <c r="J15" s="39"/>
      <c r="K15" s="43"/>
      <c r="L15" s="39"/>
      <c r="M15" s="39"/>
      <c r="N15" s="39"/>
      <c r="O15" s="39"/>
      <c r="P15" s="39"/>
    </row>
    <row r="16" customFormat="false" ht="15" hidden="false" customHeight="false" outlineLevel="0" collapsed="false">
      <c r="A16" s="39"/>
      <c r="B16" s="39"/>
      <c r="C16" s="39"/>
      <c r="D16" s="39"/>
      <c r="E16" s="39"/>
      <c r="F16" s="39"/>
      <c r="G16" s="39"/>
      <c r="H16" s="39"/>
      <c r="I16" s="39"/>
      <c r="J16" s="39"/>
      <c r="K16" s="43"/>
      <c r="L16" s="39"/>
      <c r="M16" s="39"/>
      <c r="N16" s="39"/>
      <c r="O16" s="39"/>
      <c r="P16" s="39"/>
    </row>
    <row r="17" customFormat="false" ht="15" hidden="false" customHeight="false" outlineLevel="0" collapsed="false">
      <c r="A17" s="39"/>
      <c r="B17" s="39"/>
      <c r="C17" s="39"/>
      <c r="D17" s="39"/>
      <c r="E17" s="39"/>
      <c r="F17" s="39"/>
      <c r="G17" s="39"/>
      <c r="H17" s="39"/>
      <c r="I17" s="39"/>
      <c r="J17" s="39"/>
      <c r="K17" s="43"/>
      <c r="L17" s="39"/>
      <c r="M17" s="39"/>
      <c r="N17" s="39"/>
      <c r="O17" s="39"/>
      <c r="P17" s="39"/>
    </row>
    <row r="18" customFormat="false" ht="15" hidden="false" customHeight="false" outlineLevel="0" collapsed="false">
      <c r="A18" s="39"/>
      <c r="B18" s="39"/>
      <c r="C18" s="39"/>
      <c r="D18" s="39"/>
      <c r="E18" s="39"/>
      <c r="F18" s="39"/>
      <c r="G18" s="39"/>
      <c r="H18" s="39"/>
      <c r="I18" s="39"/>
      <c r="J18" s="39"/>
      <c r="K18" s="43"/>
      <c r="L18" s="39"/>
      <c r="M18" s="39"/>
      <c r="N18" s="39"/>
      <c r="O18" s="39"/>
      <c r="P18" s="39"/>
    </row>
    <row r="19" customFormat="false" ht="15" hidden="false" customHeight="false" outlineLevel="0" collapsed="false">
      <c r="A19" s="39"/>
      <c r="B19" s="39"/>
      <c r="C19" s="39"/>
      <c r="D19" s="39"/>
      <c r="E19" s="39"/>
      <c r="F19" s="39"/>
      <c r="G19" s="39"/>
      <c r="H19" s="39"/>
      <c r="I19" s="39"/>
      <c r="J19" s="39"/>
      <c r="K19" s="43"/>
      <c r="L19" s="39"/>
      <c r="M19" s="39"/>
      <c r="N19" s="39"/>
      <c r="O19" s="39"/>
      <c r="P19" s="39"/>
    </row>
    <row r="20" customFormat="false" ht="15" hidden="false" customHeight="false" outlineLevel="0" collapsed="false">
      <c r="A20" s="39"/>
      <c r="B20" s="39"/>
      <c r="C20" s="39"/>
      <c r="D20" s="39"/>
      <c r="E20" s="39"/>
      <c r="F20" s="39"/>
      <c r="G20" s="39"/>
      <c r="H20" s="39"/>
      <c r="I20" s="39"/>
      <c r="J20" s="39"/>
      <c r="K20" s="43"/>
      <c r="L20" s="39"/>
      <c r="M20" s="39"/>
      <c r="N20" s="39"/>
      <c r="O20" s="39"/>
      <c r="P20" s="39"/>
    </row>
    <row r="21" customFormat="false" ht="15" hidden="false" customHeight="false" outlineLevel="0" collapsed="false">
      <c r="A21" s="39"/>
      <c r="B21" s="39"/>
      <c r="C21" s="39"/>
      <c r="D21" s="39"/>
      <c r="E21" s="39"/>
      <c r="F21" s="39"/>
      <c r="G21" s="39"/>
      <c r="H21" s="39"/>
      <c r="I21" s="39"/>
      <c r="J21" s="39"/>
      <c r="K21" s="43"/>
      <c r="L21" s="39"/>
      <c r="M21" s="39"/>
      <c r="N21" s="39"/>
      <c r="O21" s="39"/>
      <c r="P21" s="39"/>
    </row>
    <row r="22" customFormat="false" ht="15" hidden="false" customHeight="false" outlineLevel="0" collapsed="false">
      <c r="A22" s="39"/>
      <c r="B22" s="39"/>
      <c r="C22" s="39"/>
      <c r="D22" s="39"/>
      <c r="E22" s="39"/>
      <c r="F22" s="39"/>
      <c r="G22" s="39"/>
      <c r="H22" s="39"/>
      <c r="I22" s="39"/>
      <c r="J22" s="39"/>
      <c r="K22" s="43"/>
      <c r="L22" s="39"/>
      <c r="M22" s="39"/>
      <c r="N22" s="39"/>
      <c r="O22" s="39"/>
      <c r="P22" s="39"/>
    </row>
    <row r="23" customFormat="false" ht="15" hidden="false" customHeight="false" outlineLevel="0" collapsed="false">
      <c r="A23" s="39"/>
      <c r="B23" s="39"/>
      <c r="C23" s="39"/>
      <c r="D23" s="39"/>
      <c r="E23" s="39"/>
      <c r="F23" s="39"/>
      <c r="G23" s="39"/>
      <c r="H23" s="39"/>
      <c r="I23" s="39"/>
      <c r="J23" s="39"/>
      <c r="K23" s="43"/>
      <c r="L23" s="39"/>
      <c r="M23" s="39"/>
      <c r="N23" s="39"/>
      <c r="O23" s="39"/>
      <c r="P23" s="39"/>
    </row>
    <row r="24" customFormat="false" ht="15" hidden="false" customHeight="false" outlineLevel="0" collapsed="false">
      <c r="A24" s="39"/>
      <c r="B24" s="39"/>
      <c r="C24" s="39"/>
      <c r="D24" s="39"/>
      <c r="E24" s="39"/>
      <c r="F24" s="39"/>
      <c r="G24" s="39"/>
      <c r="H24" s="39"/>
      <c r="I24" s="39"/>
      <c r="J24" s="39"/>
      <c r="K24" s="43"/>
      <c r="L24" s="39"/>
      <c r="M24" s="39"/>
      <c r="N24" s="39"/>
      <c r="O24" s="39"/>
      <c r="P24" s="39"/>
    </row>
    <row r="25" customFormat="false" ht="15" hidden="false" customHeight="false" outlineLevel="0" collapsed="false">
      <c r="A25" s="39"/>
      <c r="B25" s="39"/>
      <c r="C25" s="39"/>
      <c r="D25" s="39"/>
      <c r="E25" s="39"/>
      <c r="F25" s="39"/>
      <c r="G25" s="39"/>
      <c r="H25" s="39"/>
      <c r="I25" s="39"/>
      <c r="J25" s="39"/>
      <c r="K25" s="43"/>
      <c r="L25" s="39"/>
      <c r="M25" s="39"/>
      <c r="N25" s="39"/>
      <c r="O25" s="39"/>
      <c r="P25" s="39"/>
    </row>
    <row r="26" customFormat="false" ht="15" hidden="false" customHeight="false" outlineLevel="0" collapsed="false">
      <c r="A26" s="39"/>
      <c r="B26" s="39"/>
      <c r="C26" s="39"/>
      <c r="D26" s="39"/>
      <c r="E26" s="39"/>
      <c r="F26" s="39"/>
      <c r="G26" s="39"/>
      <c r="H26" s="39"/>
      <c r="I26" s="39"/>
      <c r="J26" s="39"/>
      <c r="K26" s="43"/>
      <c r="L26" s="39"/>
      <c r="M26" s="39"/>
      <c r="N26" s="39"/>
      <c r="O26" s="39"/>
      <c r="P26" s="39"/>
    </row>
    <row r="27" customFormat="false" ht="15" hidden="false" customHeight="false" outlineLevel="0" collapsed="false">
      <c r="A27" s="39"/>
      <c r="B27" s="39"/>
      <c r="C27" s="39"/>
      <c r="D27" s="39"/>
      <c r="E27" s="39"/>
      <c r="F27" s="39"/>
      <c r="G27" s="39"/>
      <c r="H27" s="39"/>
      <c r="I27" s="39"/>
      <c r="J27" s="39"/>
      <c r="K27" s="43"/>
      <c r="L27" s="39"/>
      <c r="M27" s="39"/>
      <c r="N27" s="39"/>
      <c r="O27" s="39"/>
      <c r="P27" s="39"/>
    </row>
    <row r="28" customFormat="false" ht="15" hidden="false" customHeight="false" outlineLevel="0" collapsed="false">
      <c r="A28" s="39"/>
      <c r="B28" s="39"/>
      <c r="C28" s="39"/>
      <c r="D28" s="39"/>
      <c r="E28" s="39"/>
      <c r="F28" s="39"/>
      <c r="G28" s="39"/>
      <c r="H28" s="39"/>
      <c r="I28" s="39"/>
      <c r="J28" s="39"/>
      <c r="K28" s="43"/>
      <c r="L28" s="39"/>
      <c r="M28" s="39"/>
      <c r="N28" s="39"/>
      <c r="O28" s="39"/>
      <c r="P28" s="39"/>
    </row>
    <row r="29" customFormat="false" ht="15" hidden="false" customHeight="false" outlineLevel="0" collapsed="false">
      <c r="A29" s="39"/>
      <c r="B29" s="39"/>
      <c r="C29" s="39"/>
      <c r="D29" s="39"/>
      <c r="E29" s="39"/>
      <c r="F29" s="39"/>
      <c r="G29" s="39"/>
      <c r="H29" s="39"/>
      <c r="I29" s="39"/>
      <c r="J29" s="39"/>
      <c r="K29" s="43"/>
      <c r="L29" s="39"/>
      <c r="M29" s="39"/>
      <c r="N29" s="39"/>
      <c r="O29" s="39"/>
      <c r="P29" s="39"/>
    </row>
    <row r="30" customFormat="false" ht="15" hidden="false" customHeight="false" outlineLevel="0" collapsed="false">
      <c r="A30" s="39"/>
      <c r="B30" s="39"/>
      <c r="C30" s="39"/>
      <c r="D30" s="39"/>
      <c r="E30" s="39"/>
      <c r="F30" s="39"/>
      <c r="G30" s="39"/>
      <c r="H30" s="39"/>
      <c r="I30" s="39"/>
      <c r="J30" s="39"/>
      <c r="K30" s="43"/>
      <c r="L30" s="39"/>
      <c r="M30" s="39"/>
      <c r="N30" s="39"/>
      <c r="O30" s="39"/>
      <c r="P30" s="39"/>
    </row>
    <row r="31" customFormat="false" ht="15" hidden="false" customHeight="false" outlineLevel="0" collapsed="false">
      <c r="A31" s="39"/>
      <c r="B31" s="39"/>
      <c r="C31" s="39"/>
      <c r="D31" s="39"/>
      <c r="E31" s="39"/>
      <c r="F31" s="39"/>
      <c r="G31" s="39"/>
      <c r="H31" s="39"/>
      <c r="I31" s="39"/>
      <c r="J31" s="39"/>
      <c r="K31" s="43"/>
      <c r="L31" s="39"/>
      <c r="M31" s="39"/>
      <c r="N31" s="39"/>
      <c r="O31" s="39"/>
      <c r="P31" s="39"/>
    </row>
    <row r="32" customFormat="false" ht="15" hidden="false" customHeight="false" outlineLevel="0" collapsed="false">
      <c r="A32" s="39"/>
      <c r="B32" s="39"/>
      <c r="C32" s="39"/>
      <c r="D32" s="39"/>
      <c r="E32" s="39"/>
      <c r="F32" s="39"/>
      <c r="G32" s="39"/>
      <c r="H32" s="39"/>
      <c r="I32" s="39"/>
      <c r="J32" s="39"/>
      <c r="K32" s="43"/>
      <c r="L32" s="39"/>
      <c r="M32" s="39"/>
      <c r="N32" s="39"/>
      <c r="O32" s="39"/>
      <c r="P32" s="39"/>
    </row>
    <row r="33" customFormat="false" ht="15" hidden="false" customHeight="false" outlineLevel="0" collapsed="false">
      <c r="A33" s="39"/>
      <c r="B33" s="39"/>
      <c r="C33" s="39"/>
      <c r="D33" s="39"/>
      <c r="E33" s="39"/>
      <c r="F33" s="39"/>
      <c r="G33" s="39"/>
      <c r="H33" s="39"/>
      <c r="I33" s="39"/>
      <c r="J33" s="39"/>
      <c r="K33" s="43"/>
      <c r="L33" s="39"/>
      <c r="M33" s="39"/>
      <c r="N33" s="39"/>
      <c r="O33" s="39"/>
      <c r="P33" s="39"/>
    </row>
    <row r="34" customFormat="false" ht="15" hidden="false" customHeight="false" outlineLevel="0" collapsed="false">
      <c r="A34" s="39"/>
      <c r="B34" s="39"/>
      <c r="C34" s="39"/>
      <c r="D34" s="39"/>
      <c r="E34" s="39"/>
      <c r="F34" s="39"/>
      <c r="G34" s="39"/>
      <c r="H34" s="39"/>
      <c r="I34" s="39"/>
      <c r="J34" s="39"/>
      <c r="K34" s="43"/>
      <c r="L34" s="39"/>
      <c r="M34" s="39"/>
      <c r="N34" s="39"/>
      <c r="O34" s="39"/>
      <c r="P34" s="39"/>
    </row>
    <row r="35" customFormat="false" ht="15" hidden="false" customHeight="false" outlineLevel="0" collapsed="false">
      <c r="A35" s="39"/>
      <c r="B35" s="39"/>
      <c r="C35" s="39"/>
      <c r="D35" s="39"/>
      <c r="E35" s="39"/>
      <c r="F35" s="39"/>
      <c r="G35" s="39"/>
      <c r="H35" s="39"/>
      <c r="I35" s="39"/>
      <c r="J35" s="39"/>
      <c r="K35" s="43"/>
      <c r="L35" s="39"/>
      <c r="M35" s="39"/>
      <c r="N35" s="39"/>
      <c r="O35" s="39"/>
      <c r="P35" s="39"/>
    </row>
    <row r="36" customFormat="false" ht="15" hidden="false" customHeight="false" outlineLevel="0" collapsed="false">
      <c r="A36" s="39"/>
      <c r="B36" s="39"/>
      <c r="C36" s="39"/>
      <c r="D36" s="39"/>
      <c r="E36" s="39"/>
      <c r="F36" s="39"/>
      <c r="G36" s="39"/>
      <c r="H36" s="39"/>
      <c r="I36" s="39"/>
      <c r="J36" s="39"/>
      <c r="K36" s="43"/>
      <c r="L36" s="39"/>
      <c r="M36" s="39"/>
      <c r="N36" s="39"/>
      <c r="O36" s="39"/>
      <c r="P36" s="39"/>
    </row>
    <row r="37" customFormat="false" ht="15" hidden="false" customHeight="false" outlineLevel="0" collapsed="false">
      <c r="A37" s="39"/>
      <c r="B37" s="39"/>
      <c r="C37" s="39"/>
      <c r="D37" s="39"/>
      <c r="E37" s="39"/>
      <c r="F37" s="39"/>
      <c r="G37" s="39"/>
      <c r="H37" s="39"/>
      <c r="I37" s="39"/>
      <c r="J37" s="39"/>
      <c r="K37" s="43"/>
      <c r="L37" s="39"/>
      <c r="M37" s="39"/>
      <c r="N37" s="39"/>
      <c r="O37" s="39"/>
      <c r="P37" s="39"/>
    </row>
    <row r="38" customFormat="false" ht="15" hidden="false" customHeight="false" outlineLevel="0" collapsed="false">
      <c r="A38" s="39"/>
      <c r="B38" s="39"/>
      <c r="C38" s="39"/>
      <c r="D38" s="39"/>
      <c r="E38" s="39"/>
      <c r="F38" s="39"/>
      <c r="G38" s="39"/>
      <c r="H38" s="39"/>
      <c r="I38" s="39"/>
      <c r="J38" s="39"/>
      <c r="K38" s="43"/>
      <c r="L38" s="39"/>
      <c r="M38" s="39"/>
      <c r="N38" s="39"/>
      <c r="O38" s="39"/>
      <c r="P38" s="39"/>
    </row>
    <row r="39" customFormat="false" ht="15" hidden="false" customHeight="false" outlineLevel="0" collapsed="false">
      <c r="A39" s="39"/>
      <c r="B39" s="39"/>
      <c r="C39" s="39"/>
      <c r="D39" s="39"/>
      <c r="E39" s="39"/>
      <c r="F39" s="39"/>
      <c r="G39" s="39"/>
      <c r="H39" s="39"/>
      <c r="I39" s="39"/>
      <c r="J39" s="39"/>
      <c r="K39" s="43"/>
      <c r="L39" s="39"/>
      <c r="M39" s="39"/>
      <c r="N39" s="39"/>
      <c r="O39" s="39"/>
      <c r="P39" s="39"/>
    </row>
    <row r="40" customFormat="false" ht="15" hidden="false" customHeight="false" outlineLevel="0" collapsed="false">
      <c r="A40" s="39"/>
      <c r="B40" s="39"/>
      <c r="C40" s="39"/>
      <c r="D40" s="39"/>
      <c r="E40" s="39"/>
      <c r="F40" s="39"/>
      <c r="G40" s="39"/>
      <c r="H40" s="39"/>
      <c r="I40" s="39"/>
      <c r="J40" s="39"/>
      <c r="K40" s="43"/>
      <c r="L40" s="39"/>
      <c r="M40" s="39"/>
      <c r="N40" s="39"/>
      <c r="O40" s="39"/>
      <c r="P40" s="39"/>
    </row>
    <row r="41" customFormat="false" ht="15" hidden="false" customHeight="false" outlineLevel="0" collapsed="false">
      <c r="A41" s="39"/>
      <c r="B41" s="39"/>
      <c r="C41" s="39"/>
      <c r="D41" s="39"/>
      <c r="E41" s="39"/>
      <c r="F41" s="39"/>
      <c r="G41" s="39"/>
      <c r="H41" s="39"/>
      <c r="I41" s="39"/>
      <c r="J41" s="39"/>
      <c r="K41" s="43"/>
      <c r="L41" s="39"/>
      <c r="M41" s="39"/>
      <c r="N41" s="39"/>
      <c r="O41" s="39"/>
      <c r="P41" s="39"/>
    </row>
    <row r="42" customFormat="false" ht="15" hidden="false" customHeight="false" outlineLevel="0" collapsed="false">
      <c r="A42" s="39"/>
      <c r="B42" s="39"/>
      <c r="C42" s="39"/>
      <c r="D42" s="39"/>
      <c r="E42" s="39"/>
      <c r="F42" s="39"/>
      <c r="G42" s="39"/>
      <c r="H42" s="39"/>
      <c r="I42" s="39"/>
      <c r="J42" s="39"/>
      <c r="K42" s="43"/>
      <c r="L42" s="39"/>
      <c r="M42" s="39"/>
      <c r="N42" s="39"/>
      <c r="O42" s="39"/>
      <c r="P42" s="39"/>
    </row>
    <row r="43" customFormat="false" ht="15" hidden="false" customHeight="false" outlineLevel="0" collapsed="false">
      <c r="A43" s="39"/>
      <c r="B43" s="39"/>
      <c r="C43" s="39"/>
      <c r="D43" s="39"/>
      <c r="E43" s="39"/>
      <c r="F43" s="39"/>
      <c r="G43" s="39"/>
      <c r="H43" s="39"/>
      <c r="I43" s="39"/>
      <c r="J43" s="39"/>
      <c r="K43" s="43"/>
      <c r="L43" s="39"/>
      <c r="M43" s="39"/>
      <c r="N43" s="39"/>
      <c r="O43" s="39"/>
      <c r="P43" s="39"/>
    </row>
    <row r="44" customFormat="false" ht="15" hidden="false" customHeight="false" outlineLevel="0" collapsed="false">
      <c r="A44" s="39"/>
      <c r="B44" s="39"/>
      <c r="C44" s="39"/>
      <c r="D44" s="39"/>
      <c r="E44" s="39"/>
      <c r="F44" s="39"/>
      <c r="G44" s="39"/>
      <c r="H44" s="39"/>
      <c r="I44" s="39"/>
      <c r="J44" s="39"/>
      <c r="K44" s="43"/>
      <c r="L44" s="39"/>
      <c r="M44" s="39"/>
      <c r="N44" s="39"/>
      <c r="O44" s="39"/>
      <c r="P44" s="39"/>
    </row>
    <row r="45" customFormat="false" ht="15" hidden="false" customHeight="false" outlineLevel="0" collapsed="false">
      <c r="A45" s="39"/>
      <c r="B45" s="39"/>
      <c r="C45" s="39"/>
      <c r="D45" s="39"/>
      <c r="E45" s="39"/>
      <c r="F45" s="39"/>
      <c r="G45" s="39"/>
      <c r="H45" s="39"/>
      <c r="I45" s="39"/>
      <c r="J45" s="39"/>
      <c r="K45" s="43"/>
      <c r="L45" s="39"/>
      <c r="M45" s="39"/>
      <c r="N45" s="39"/>
      <c r="O45" s="39"/>
      <c r="P45" s="39"/>
    </row>
    <row r="46" customFormat="false" ht="15" hidden="false" customHeight="false" outlineLevel="0" collapsed="false">
      <c r="A46" s="39"/>
      <c r="B46" s="39"/>
      <c r="C46" s="39"/>
      <c r="D46" s="39"/>
      <c r="E46" s="39"/>
      <c r="F46" s="39"/>
      <c r="G46" s="39"/>
      <c r="H46" s="39"/>
      <c r="I46" s="39"/>
      <c r="J46" s="39"/>
      <c r="K46" s="43"/>
      <c r="L46" s="39"/>
      <c r="M46" s="39"/>
      <c r="N46" s="39"/>
      <c r="O46" s="39"/>
      <c r="P46" s="39"/>
    </row>
    <row r="47" customFormat="false" ht="15" hidden="false" customHeight="false" outlineLevel="0" collapsed="false">
      <c r="A47" s="39"/>
      <c r="B47" s="39"/>
      <c r="C47" s="39"/>
      <c r="D47" s="39"/>
      <c r="E47" s="39"/>
      <c r="F47" s="39"/>
      <c r="G47" s="39"/>
      <c r="H47" s="39"/>
      <c r="I47" s="39"/>
      <c r="J47" s="39"/>
      <c r="K47" s="43"/>
      <c r="L47" s="39"/>
      <c r="M47" s="39"/>
      <c r="N47" s="39"/>
      <c r="O47" s="39"/>
      <c r="P47" s="39"/>
    </row>
    <row r="48" customFormat="false" ht="15" hidden="false" customHeight="false" outlineLevel="0" collapsed="false">
      <c r="A48" s="39"/>
      <c r="B48" s="39"/>
      <c r="C48" s="39"/>
      <c r="D48" s="39"/>
      <c r="E48" s="39"/>
      <c r="F48" s="39"/>
      <c r="G48" s="39"/>
      <c r="H48" s="39"/>
      <c r="I48" s="39"/>
      <c r="J48" s="39"/>
      <c r="K48" s="43"/>
      <c r="L48" s="39"/>
      <c r="M48" s="39"/>
      <c r="N48" s="39"/>
      <c r="O48" s="39"/>
      <c r="P48" s="39"/>
    </row>
    <row r="49" customFormat="false" ht="15" hidden="false" customHeight="false" outlineLevel="0" collapsed="false">
      <c r="A49" s="39"/>
      <c r="B49" s="39"/>
      <c r="C49" s="39"/>
      <c r="D49" s="39"/>
      <c r="E49" s="39"/>
      <c r="F49" s="39"/>
      <c r="G49" s="39"/>
      <c r="H49" s="39"/>
      <c r="I49" s="39"/>
      <c r="J49" s="39"/>
      <c r="K49" s="43"/>
      <c r="L49" s="39"/>
      <c r="M49" s="39"/>
      <c r="N49" s="39"/>
      <c r="O49" s="39"/>
      <c r="P49" s="39"/>
    </row>
    <row r="50" customFormat="false" ht="15" hidden="false" customHeight="false" outlineLevel="0" collapsed="false">
      <c r="A50" s="39"/>
      <c r="B50" s="39"/>
      <c r="C50" s="39"/>
      <c r="D50" s="39"/>
      <c r="E50" s="39"/>
      <c r="F50" s="39"/>
      <c r="G50" s="39"/>
      <c r="H50" s="39"/>
      <c r="I50" s="39"/>
      <c r="J50" s="39"/>
      <c r="K50" s="43"/>
      <c r="L50" s="39"/>
      <c r="M50" s="39"/>
      <c r="N50" s="39"/>
      <c r="O50" s="39"/>
      <c r="P50" s="39"/>
    </row>
    <row r="51" customFormat="false" ht="15" hidden="false" customHeight="false" outlineLevel="0" collapsed="false">
      <c r="A51" s="39"/>
      <c r="B51" s="39"/>
      <c r="C51" s="39"/>
      <c r="D51" s="39"/>
      <c r="E51" s="39"/>
      <c r="F51" s="39"/>
      <c r="G51" s="39"/>
      <c r="H51" s="39"/>
      <c r="I51" s="39"/>
      <c r="J51" s="39"/>
      <c r="K51" s="43"/>
      <c r="L51" s="39"/>
      <c r="M51" s="39"/>
      <c r="N51" s="39"/>
      <c r="O51" s="39"/>
      <c r="P51" s="39"/>
    </row>
    <row r="52" customFormat="false" ht="15" hidden="false" customHeight="false" outlineLevel="0" collapsed="false">
      <c r="A52" s="39"/>
      <c r="B52" s="39"/>
      <c r="C52" s="39"/>
      <c r="D52" s="39"/>
      <c r="E52" s="39"/>
      <c r="F52" s="39"/>
      <c r="G52" s="39"/>
      <c r="H52" s="39"/>
      <c r="I52" s="39"/>
      <c r="J52" s="39"/>
      <c r="K52" s="43"/>
      <c r="L52" s="39"/>
      <c r="M52" s="39"/>
      <c r="N52" s="39"/>
      <c r="O52" s="39"/>
      <c r="P52" s="39"/>
    </row>
    <row r="53" customFormat="false" ht="15" hidden="false" customHeight="false" outlineLevel="0" collapsed="false">
      <c r="A53" s="39"/>
      <c r="B53" s="39"/>
      <c r="C53" s="39"/>
      <c r="D53" s="39"/>
      <c r="E53" s="39"/>
      <c r="F53" s="39"/>
      <c r="G53" s="39"/>
      <c r="H53" s="39"/>
      <c r="I53" s="39"/>
      <c r="J53" s="39"/>
      <c r="K53" s="43"/>
      <c r="L53" s="39"/>
      <c r="M53" s="39"/>
      <c r="N53" s="39"/>
      <c r="O53" s="39"/>
      <c r="P53" s="39"/>
    </row>
    <row r="54" customFormat="false" ht="15" hidden="false" customHeight="false" outlineLevel="0" collapsed="false">
      <c r="A54" s="39"/>
      <c r="B54" s="39"/>
      <c r="C54" s="39"/>
      <c r="D54" s="39"/>
      <c r="E54" s="39"/>
      <c r="F54" s="39"/>
      <c r="G54" s="39"/>
      <c r="H54" s="39"/>
      <c r="I54" s="39"/>
      <c r="J54" s="39"/>
      <c r="K54" s="43"/>
      <c r="L54" s="39"/>
      <c r="M54" s="39"/>
      <c r="N54" s="39"/>
      <c r="O54" s="39"/>
      <c r="P54" s="39"/>
    </row>
    <row r="55" customFormat="false" ht="15" hidden="false" customHeight="false" outlineLevel="0" collapsed="false">
      <c r="A55" s="39"/>
      <c r="B55" s="39"/>
      <c r="C55" s="39"/>
      <c r="D55" s="39"/>
      <c r="E55" s="39"/>
      <c r="F55" s="39"/>
      <c r="G55" s="39"/>
      <c r="H55" s="39"/>
      <c r="I55" s="39"/>
      <c r="J55" s="39"/>
      <c r="K55" s="43"/>
      <c r="L55" s="39"/>
      <c r="M55" s="39"/>
      <c r="N55" s="39"/>
      <c r="O55" s="39"/>
      <c r="P55" s="39"/>
    </row>
    <row r="56" customFormat="false" ht="15" hidden="false" customHeight="false" outlineLevel="0" collapsed="false">
      <c r="A56" s="39"/>
      <c r="B56" s="39"/>
      <c r="C56" s="39"/>
      <c r="D56" s="39"/>
      <c r="E56" s="39"/>
      <c r="F56" s="39"/>
      <c r="G56" s="39"/>
      <c r="H56" s="39"/>
      <c r="I56" s="39"/>
      <c r="J56" s="39"/>
      <c r="K56" s="43"/>
      <c r="L56" s="39"/>
      <c r="M56" s="39"/>
      <c r="N56" s="39"/>
      <c r="O56" s="39"/>
      <c r="P56" s="39"/>
    </row>
    <row r="57" customFormat="false" ht="15" hidden="false" customHeight="false" outlineLevel="0" collapsed="false">
      <c r="A57" s="39"/>
      <c r="B57" s="39"/>
      <c r="C57" s="39"/>
      <c r="D57" s="39"/>
      <c r="E57" s="39"/>
      <c r="F57" s="39"/>
      <c r="G57" s="39"/>
      <c r="H57" s="39"/>
      <c r="I57" s="39"/>
      <c r="J57" s="39"/>
      <c r="K57" s="43"/>
      <c r="L57" s="39"/>
      <c r="M57" s="39"/>
      <c r="N57" s="39"/>
      <c r="O57" s="39"/>
      <c r="P57" s="39"/>
    </row>
    <row r="58" customFormat="false" ht="15" hidden="false" customHeight="false" outlineLevel="0" collapsed="false">
      <c r="A58" s="39"/>
      <c r="B58" s="39"/>
      <c r="C58" s="39"/>
      <c r="D58" s="39"/>
      <c r="E58" s="39"/>
      <c r="F58" s="39"/>
      <c r="G58" s="39"/>
      <c r="H58" s="39"/>
      <c r="I58" s="39"/>
      <c r="J58" s="39"/>
      <c r="K58" s="43"/>
      <c r="L58" s="39"/>
      <c r="M58" s="39"/>
      <c r="N58" s="39"/>
      <c r="O58" s="39"/>
      <c r="P58" s="39"/>
    </row>
    <row r="59" customFormat="false" ht="15" hidden="false" customHeight="false" outlineLevel="0" collapsed="false">
      <c r="A59" s="39"/>
      <c r="B59" s="39"/>
      <c r="C59" s="39"/>
      <c r="D59" s="39"/>
      <c r="E59" s="39"/>
      <c r="F59" s="39"/>
      <c r="G59" s="39"/>
      <c r="H59" s="39"/>
      <c r="I59" s="39"/>
      <c r="J59" s="39"/>
      <c r="K59" s="43"/>
      <c r="L59" s="39"/>
      <c r="M59" s="39"/>
      <c r="N59" s="39"/>
      <c r="O59" s="39"/>
      <c r="P59" s="39"/>
    </row>
    <row r="60" customFormat="false" ht="15" hidden="false" customHeight="false" outlineLevel="0" collapsed="false">
      <c r="A60" s="39"/>
      <c r="B60" s="39"/>
      <c r="C60" s="39"/>
      <c r="D60" s="39"/>
      <c r="E60" s="39"/>
      <c r="F60" s="39"/>
      <c r="G60" s="39"/>
      <c r="H60" s="39"/>
      <c r="I60" s="39"/>
      <c r="J60" s="39"/>
      <c r="K60" s="43"/>
      <c r="L60" s="39"/>
      <c r="M60" s="39"/>
      <c r="N60" s="39"/>
      <c r="O60" s="39"/>
      <c r="P60" s="39"/>
    </row>
    <row r="61" customFormat="false" ht="15" hidden="false" customHeight="false" outlineLevel="0" collapsed="false">
      <c r="A61" s="39"/>
      <c r="B61" s="39"/>
      <c r="C61" s="39"/>
      <c r="D61" s="39"/>
      <c r="E61" s="39"/>
      <c r="F61" s="39"/>
      <c r="G61" s="39"/>
      <c r="H61" s="39"/>
      <c r="I61" s="39"/>
      <c r="J61" s="39"/>
      <c r="K61" s="43"/>
      <c r="L61" s="39"/>
      <c r="M61" s="39"/>
      <c r="N61" s="39"/>
      <c r="O61" s="39"/>
      <c r="P61" s="39"/>
    </row>
    <row r="62" customFormat="false" ht="15" hidden="false" customHeight="false" outlineLevel="0" collapsed="false">
      <c r="A62" s="39"/>
      <c r="B62" s="39"/>
      <c r="C62" s="39"/>
      <c r="D62" s="39"/>
      <c r="E62" s="39"/>
      <c r="F62" s="39"/>
      <c r="G62" s="39"/>
      <c r="H62" s="39"/>
      <c r="I62" s="39"/>
      <c r="J62" s="39"/>
      <c r="K62" s="43"/>
      <c r="L62" s="39"/>
      <c r="M62" s="39"/>
      <c r="N62" s="39"/>
      <c r="O62" s="39"/>
      <c r="P62" s="39"/>
    </row>
    <row r="63" customFormat="false" ht="15" hidden="false" customHeight="false" outlineLevel="0" collapsed="false">
      <c r="A63" s="39"/>
      <c r="B63" s="39"/>
      <c r="C63" s="39"/>
      <c r="D63" s="39"/>
      <c r="E63" s="39"/>
      <c r="F63" s="39"/>
      <c r="G63" s="39"/>
      <c r="H63" s="39"/>
      <c r="I63" s="39"/>
      <c r="J63" s="39"/>
      <c r="K63" s="43"/>
      <c r="L63" s="39"/>
      <c r="M63" s="39"/>
      <c r="N63" s="39"/>
      <c r="O63" s="39"/>
      <c r="P63" s="39"/>
    </row>
    <row r="64" customFormat="false" ht="15" hidden="false" customHeight="false" outlineLevel="0" collapsed="false">
      <c r="A64" s="39"/>
      <c r="B64" s="39"/>
      <c r="C64" s="39"/>
      <c r="D64" s="39"/>
      <c r="E64" s="39"/>
      <c r="F64" s="39"/>
      <c r="G64" s="39"/>
      <c r="H64" s="39"/>
      <c r="I64" s="39"/>
      <c r="J64" s="39"/>
      <c r="K64" s="43"/>
      <c r="L64" s="39"/>
      <c r="M64" s="39"/>
      <c r="N64" s="39"/>
      <c r="O64" s="39"/>
      <c r="P64" s="39"/>
    </row>
    <row r="65" customFormat="false" ht="15" hidden="false" customHeight="false" outlineLevel="0" collapsed="false">
      <c r="A65" s="39"/>
      <c r="B65" s="39"/>
      <c r="C65" s="39"/>
      <c r="D65" s="39"/>
      <c r="E65" s="39"/>
      <c r="F65" s="39"/>
      <c r="G65" s="39"/>
      <c r="H65" s="39"/>
      <c r="I65" s="39"/>
      <c r="J65" s="39"/>
      <c r="K65" s="43"/>
      <c r="L65" s="39"/>
      <c r="M65" s="39"/>
      <c r="N65" s="39"/>
      <c r="O65" s="39"/>
      <c r="P65" s="39"/>
    </row>
    <row r="66" customFormat="false" ht="15" hidden="false" customHeight="false" outlineLevel="0" collapsed="false">
      <c r="A66" s="39"/>
      <c r="B66" s="39"/>
      <c r="C66" s="39"/>
      <c r="D66" s="39"/>
      <c r="E66" s="39"/>
      <c r="F66" s="39"/>
      <c r="G66" s="39"/>
      <c r="H66" s="39"/>
      <c r="I66" s="39"/>
      <c r="J66" s="39"/>
      <c r="K66" s="43"/>
      <c r="L66" s="39"/>
      <c r="M66" s="39"/>
      <c r="N66" s="39"/>
      <c r="O66" s="39"/>
      <c r="P66" s="39"/>
    </row>
    <row r="67" customFormat="false" ht="15" hidden="false" customHeight="false" outlineLevel="0" collapsed="false">
      <c r="A67" s="39"/>
      <c r="B67" s="39"/>
      <c r="C67" s="39"/>
      <c r="D67" s="39"/>
      <c r="E67" s="39"/>
      <c r="F67" s="39"/>
      <c r="G67" s="39"/>
      <c r="H67" s="39"/>
      <c r="I67" s="39"/>
      <c r="J67" s="39"/>
      <c r="K67" s="43"/>
      <c r="L67" s="39"/>
      <c r="M67" s="39"/>
      <c r="N67" s="39"/>
      <c r="O67" s="39"/>
      <c r="P67" s="39"/>
    </row>
    <row r="68" customFormat="false" ht="15" hidden="false" customHeight="false" outlineLevel="0" collapsed="false">
      <c r="A68" s="39"/>
      <c r="B68" s="39"/>
      <c r="C68" s="39"/>
      <c r="D68" s="39"/>
      <c r="E68" s="39"/>
      <c r="F68" s="39"/>
      <c r="G68" s="39"/>
      <c r="H68" s="39"/>
      <c r="I68" s="39"/>
      <c r="J68" s="39"/>
      <c r="K68" s="43"/>
      <c r="L68" s="39"/>
      <c r="M68" s="39"/>
      <c r="N68" s="39"/>
      <c r="O68" s="39"/>
      <c r="P68" s="39"/>
    </row>
    <row r="69" customFormat="false" ht="15" hidden="false" customHeight="false" outlineLevel="0" collapsed="false">
      <c r="A69" s="39"/>
      <c r="B69" s="39"/>
      <c r="C69" s="39"/>
      <c r="D69" s="39"/>
      <c r="E69" s="39"/>
      <c r="F69" s="39"/>
      <c r="G69" s="39"/>
      <c r="H69" s="39"/>
      <c r="I69" s="39"/>
      <c r="J69" s="39"/>
      <c r="K69" s="43"/>
      <c r="L69" s="39"/>
      <c r="M69" s="39"/>
      <c r="N69" s="39"/>
      <c r="O69" s="39"/>
      <c r="P69" s="39"/>
    </row>
    <row r="70" customFormat="false" ht="15" hidden="false" customHeight="false" outlineLevel="0" collapsed="false">
      <c r="A70" s="39"/>
      <c r="B70" s="39"/>
      <c r="C70" s="39"/>
      <c r="D70" s="39"/>
      <c r="E70" s="39"/>
      <c r="F70" s="39"/>
      <c r="G70" s="39"/>
      <c r="H70" s="39"/>
      <c r="I70" s="39"/>
      <c r="J70" s="39"/>
      <c r="K70" s="43"/>
      <c r="L70" s="39"/>
      <c r="M70" s="39"/>
      <c r="N70" s="39"/>
      <c r="O70" s="39"/>
      <c r="P70" s="39"/>
    </row>
    <row r="71" customFormat="false" ht="15" hidden="false" customHeight="false" outlineLevel="0" collapsed="false">
      <c r="A71" s="39"/>
      <c r="B71" s="39"/>
      <c r="C71" s="39"/>
      <c r="D71" s="39"/>
      <c r="E71" s="39"/>
      <c r="F71" s="39"/>
      <c r="G71" s="39"/>
      <c r="H71" s="39"/>
      <c r="I71" s="39"/>
      <c r="J71" s="39"/>
      <c r="K71" s="43"/>
      <c r="L71" s="39"/>
      <c r="M71" s="39"/>
      <c r="N71" s="39"/>
      <c r="O71" s="39"/>
      <c r="P71" s="39"/>
    </row>
    <row r="72" customFormat="false" ht="15" hidden="false" customHeight="false" outlineLevel="0" collapsed="false">
      <c r="A72" s="39"/>
      <c r="B72" s="39"/>
      <c r="C72" s="39"/>
      <c r="D72" s="39"/>
      <c r="E72" s="39"/>
      <c r="F72" s="39"/>
      <c r="G72" s="39"/>
      <c r="H72" s="39"/>
      <c r="I72" s="39"/>
      <c r="J72" s="39"/>
      <c r="K72" s="43"/>
      <c r="L72" s="39"/>
      <c r="M72" s="39"/>
      <c r="N72" s="39"/>
      <c r="O72" s="39"/>
      <c r="P72" s="39"/>
    </row>
    <row r="73" customFormat="false" ht="15" hidden="false" customHeight="false" outlineLevel="0" collapsed="false">
      <c r="A73" s="39"/>
      <c r="B73" s="39"/>
      <c r="C73" s="39"/>
      <c r="D73" s="39"/>
      <c r="E73" s="39"/>
      <c r="F73" s="39"/>
      <c r="G73" s="39"/>
      <c r="H73" s="39"/>
      <c r="I73" s="39"/>
      <c r="J73" s="39"/>
      <c r="K73" s="43"/>
      <c r="L73" s="39"/>
      <c r="M73" s="39"/>
      <c r="N73" s="39"/>
      <c r="O73" s="39"/>
      <c r="P73" s="39"/>
    </row>
    <row r="74" customFormat="false" ht="15" hidden="false" customHeight="false" outlineLevel="0" collapsed="false">
      <c r="A74" s="39"/>
      <c r="B74" s="39"/>
      <c r="C74" s="39"/>
      <c r="D74" s="39"/>
      <c r="E74" s="39"/>
      <c r="F74" s="39"/>
      <c r="G74" s="39"/>
      <c r="H74" s="39"/>
      <c r="I74" s="39"/>
      <c r="J74" s="39"/>
      <c r="K74" s="43"/>
      <c r="L74" s="39"/>
      <c r="M74" s="39"/>
      <c r="N74" s="39"/>
      <c r="O74" s="39"/>
      <c r="P74" s="39"/>
    </row>
    <row r="75" customFormat="false" ht="15" hidden="false" customHeight="false" outlineLevel="0" collapsed="false">
      <c r="A75" s="39"/>
      <c r="B75" s="39"/>
      <c r="C75" s="39"/>
      <c r="D75" s="39"/>
      <c r="E75" s="39"/>
      <c r="F75" s="39"/>
      <c r="G75" s="39"/>
      <c r="H75" s="39"/>
      <c r="I75" s="39"/>
      <c r="J75" s="39"/>
      <c r="K75" s="43"/>
      <c r="L75" s="39"/>
      <c r="M75" s="39"/>
      <c r="N75" s="39"/>
      <c r="O75" s="39"/>
      <c r="P75" s="39"/>
    </row>
    <row r="76" customFormat="false" ht="15" hidden="false" customHeight="false" outlineLevel="0" collapsed="false">
      <c r="A76" s="39"/>
      <c r="B76" s="39"/>
      <c r="C76" s="39"/>
      <c r="D76" s="39"/>
      <c r="E76" s="39"/>
      <c r="F76" s="39"/>
      <c r="G76" s="39"/>
      <c r="H76" s="39"/>
      <c r="I76" s="39"/>
      <c r="J76" s="39"/>
      <c r="K76" s="43"/>
      <c r="L76" s="39"/>
      <c r="M76" s="39"/>
      <c r="N76" s="39"/>
      <c r="O76" s="39"/>
      <c r="P76" s="39"/>
    </row>
    <row r="77" customFormat="false" ht="15" hidden="false" customHeight="false" outlineLevel="0" collapsed="false">
      <c r="A77" s="39"/>
      <c r="B77" s="39"/>
      <c r="C77" s="39"/>
      <c r="D77" s="39"/>
      <c r="E77" s="39"/>
      <c r="F77" s="39"/>
      <c r="G77" s="39"/>
      <c r="H77" s="39"/>
      <c r="I77" s="39"/>
      <c r="J77" s="39"/>
      <c r="K77" s="43"/>
      <c r="L77" s="39"/>
      <c r="M77" s="39"/>
      <c r="N77" s="39"/>
      <c r="O77" s="39"/>
      <c r="P77" s="39"/>
    </row>
    <row r="78" customFormat="false" ht="15" hidden="false" customHeight="false" outlineLevel="0" collapsed="false">
      <c r="A78" s="39"/>
      <c r="B78" s="39"/>
      <c r="C78" s="39"/>
      <c r="D78" s="39"/>
      <c r="E78" s="39"/>
      <c r="F78" s="39"/>
      <c r="G78" s="39"/>
      <c r="H78" s="39"/>
      <c r="I78" s="39"/>
      <c r="J78" s="39"/>
      <c r="K78" s="43"/>
      <c r="L78" s="39"/>
      <c r="M78" s="39"/>
      <c r="N78" s="39"/>
      <c r="O78" s="39"/>
      <c r="P78" s="39"/>
    </row>
    <row r="79" customFormat="false" ht="15" hidden="false" customHeight="false" outlineLevel="0" collapsed="false">
      <c r="A79" s="39"/>
      <c r="B79" s="39"/>
      <c r="C79" s="39"/>
      <c r="D79" s="39"/>
      <c r="E79" s="39"/>
      <c r="F79" s="39"/>
      <c r="G79" s="39"/>
      <c r="H79" s="39"/>
      <c r="I79" s="39"/>
      <c r="J79" s="39"/>
      <c r="K79" s="43"/>
      <c r="L79" s="39"/>
      <c r="M79" s="39"/>
      <c r="N79" s="39"/>
      <c r="O79" s="39"/>
      <c r="P79" s="39"/>
    </row>
    <row r="80" customFormat="false" ht="15" hidden="false" customHeight="false" outlineLevel="0" collapsed="false">
      <c r="A80" s="39"/>
      <c r="B80" s="39"/>
      <c r="C80" s="39"/>
      <c r="D80" s="39"/>
      <c r="E80" s="39"/>
      <c r="F80" s="39"/>
      <c r="G80" s="39"/>
      <c r="H80" s="39"/>
      <c r="I80" s="39"/>
      <c r="J80" s="39"/>
      <c r="K80" s="43"/>
      <c r="L80" s="39"/>
      <c r="M80" s="39"/>
      <c r="N80" s="39"/>
      <c r="O80" s="39"/>
      <c r="P80" s="39"/>
    </row>
    <row r="81" customFormat="false" ht="15" hidden="false" customHeight="false" outlineLevel="0" collapsed="false">
      <c r="A81" s="39"/>
      <c r="B81" s="39"/>
      <c r="C81" s="39"/>
      <c r="D81" s="39"/>
      <c r="E81" s="39"/>
      <c r="F81" s="39"/>
      <c r="G81" s="39"/>
      <c r="H81" s="39"/>
      <c r="I81" s="39"/>
      <c r="J81" s="39"/>
      <c r="K81" s="43"/>
      <c r="L81" s="39"/>
      <c r="M81" s="39"/>
      <c r="N81" s="39"/>
      <c r="O81" s="39"/>
      <c r="P81" s="39"/>
    </row>
    <row r="82" customFormat="false" ht="15" hidden="false" customHeight="false" outlineLevel="0" collapsed="false">
      <c r="A82" s="39"/>
      <c r="B82" s="39"/>
      <c r="C82" s="39"/>
      <c r="D82" s="39"/>
      <c r="E82" s="39"/>
      <c r="F82" s="39"/>
      <c r="G82" s="39"/>
      <c r="H82" s="39"/>
      <c r="I82" s="39"/>
      <c r="J82" s="39"/>
      <c r="K82" s="43"/>
      <c r="L82" s="39"/>
      <c r="M82" s="39"/>
      <c r="N82" s="39"/>
      <c r="O82" s="39"/>
      <c r="P82" s="39"/>
    </row>
    <row r="83" customFormat="false" ht="15" hidden="false" customHeight="false" outlineLevel="0" collapsed="false">
      <c r="A83" s="39"/>
      <c r="B83" s="39"/>
      <c r="C83" s="39"/>
      <c r="D83" s="39"/>
      <c r="E83" s="39"/>
      <c r="F83" s="39"/>
      <c r="G83" s="39"/>
      <c r="H83" s="39"/>
      <c r="I83" s="39"/>
      <c r="J83" s="39"/>
      <c r="K83" s="43"/>
      <c r="L83" s="39"/>
      <c r="M83" s="39"/>
      <c r="N83" s="39"/>
      <c r="O83" s="39"/>
      <c r="P83" s="39"/>
    </row>
    <row r="84" customFormat="false" ht="15" hidden="false" customHeight="false" outlineLevel="0" collapsed="false">
      <c r="A84" s="39"/>
      <c r="B84" s="39"/>
      <c r="C84" s="39"/>
      <c r="D84" s="39"/>
      <c r="E84" s="39"/>
      <c r="F84" s="39"/>
      <c r="G84" s="39"/>
      <c r="H84" s="39"/>
      <c r="I84" s="39"/>
      <c r="J84" s="39"/>
      <c r="K84" s="43"/>
      <c r="L84" s="39"/>
      <c r="M84" s="39"/>
      <c r="N84" s="39"/>
      <c r="O84" s="39"/>
      <c r="P84" s="39"/>
    </row>
    <row r="85" customFormat="false" ht="15" hidden="false" customHeight="false" outlineLevel="0" collapsed="false">
      <c r="A85" s="39"/>
      <c r="B85" s="39"/>
      <c r="C85" s="39"/>
      <c r="D85" s="39"/>
      <c r="E85" s="39"/>
      <c r="F85" s="39"/>
      <c r="G85" s="39"/>
      <c r="H85" s="39"/>
      <c r="I85" s="39"/>
      <c r="J85" s="39"/>
      <c r="K85" s="43"/>
      <c r="L85" s="39"/>
      <c r="M85" s="39"/>
      <c r="N85" s="39"/>
      <c r="O85" s="39"/>
      <c r="P85" s="39"/>
    </row>
    <row r="86" customFormat="false" ht="15" hidden="false" customHeight="false" outlineLevel="0" collapsed="false">
      <c r="A86" s="39"/>
      <c r="B86" s="39"/>
      <c r="C86" s="39"/>
      <c r="D86" s="39"/>
      <c r="E86" s="39"/>
      <c r="F86" s="39"/>
      <c r="G86" s="39"/>
      <c r="H86" s="39"/>
      <c r="I86" s="39"/>
      <c r="J86" s="39"/>
      <c r="K86" s="43"/>
      <c r="L86" s="39"/>
      <c r="M86" s="39"/>
      <c r="N86" s="39"/>
      <c r="O86" s="39"/>
      <c r="P86" s="39"/>
    </row>
    <row r="87" customFormat="false" ht="15" hidden="false" customHeight="false" outlineLevel="0" collapsed="false">
      <c r="A87" s="39"/>
      <c r="B87" s="39"/>
      <c r="C87" s="39"/>
      <c r="D87" s="39"/>
      <c r="E87" s="39"/>
      <c r="F87" s="39"/>
      <c r="G87" s="39"/>
      <c r="H87" s="39"/>
      <c r="I87" s="39"/>
      <c r="J87" s="39"/>
      <c r="K87" s="43"/>
      <c r="L87" s="39"/>
      <c r="M87" s="39"/>
      <c r="N87" s="39"/>
      <c r="O87" s="39"/>
      <c r="P87" s="39"/>
    </row>
    <row r="88" customFormat="false" ht="15" hidden="false" customHeight="false" outlineLevel="0" collapsed="false">
      <c r="A88" s="39"/>
      <c r="B88" s="39"/>
      <c r="C88" s="39"/>
      <c r="D88" s="39"/>
      <c r="E88" s="39"/>
      <c r="F88" s="39"/>
      <c r="G88" s="39"/>
      <c r="H88" s="39"/>
      <c r="I88" s="39"/>
      <c r="J88" s="39"/>
      <c r="K88" s="43"/>
      <c r="L88" s="39"/>
      <c r="M88" s="39"/>
      <c r="N88" s="39"/>
      <c r="O88" s="39"/>
      <c r="P88" s="39"/>
    </row>
    <row r="89" customFormat="false" ht="15" hidden="false" customHeight="false" outlineLevel="0" collapsed="false">
      <c r="A89" s="39"/>
      <c r="B89" s="39"/>
      <c r="C89" s="39"/>
      <c r="D89" s="39"/>
      <c r="E89" s="39"/>
      <c r="F89" s="39"/>
      <c r="G89" s="39"/>
      <c r="H89" s="39"/>
      <c r="I89" s="39"/>
      <c r="J89" s="39"/>
      <c r="K89" s="43"/>
      <c r="L89" s="39"/>
      <c r="M89" s="39"/>
      <c r="N89" s="39"/>
      <c r="O89" s="39"/>
      <c r="P89" s="39"/>
    </row>
    <row r="90" customFormat="false" ht="15" hidden="false" customHeight="false" outlineLevel="0" collapsed="false">
      <c r="A90" s="39"/>
      <c r="B90" s="39"/>
      <c r="C90" s="39"/>
      <c r="D90" s="39"/>
      <c r="E90" s="39"/>
      <c r="F90" s="39"/>
      <c r="G90" s="39"/>
      <c r="H90" s="39"/>
      <c r="I90" s="39"/>
      <c r="J90" s="39"/>
      <c r="K90" s="43"/>
      <c r="L90" s="39"/>
      <c r="M90" s="39"/>
      <c r="N90" s="39"/>
      <c r="O90" s="39"/>
      <c r="P90" s="39"/>
    </row>
    <row r="91" customFormat="false" ht="15" hidden="false" customHeight="false" outlineLevel="0" collapsed="false">
      <c r="A91" s="39"/>
      <c r="B91" s="39"/>
      <c r="C91" s="39"/>
      <c r="D91" s="39"/>
      <c r="E91" s="39"/>
      <c r="F91" s="39"/>
      <c r="G91" s="39"/>
      <c r="H91" s="39"/>
      <c r="I91" s="39"/>
      <c r="J91" s="39"/>
      <c r="K91" s="43"/>
      <c r="L91" s="39"/>
      <c r="M91" s="39"/>
      <c r="N91" s="39"/>
      <c r="O91" s="39"/>
      <c r="P91" s="39"/>
    </row>
    <row r="92" customFormat="false" ht="15" hidden="false" customHeight="false" outlineLevel="0" collapsed="false">
      <c r="A92" s="39"/>
      <c r="B92" s="39"/>
      <c r="C92" s="39"/>
      <c r="D92" s="39"/>
      <c r="E92" s="39"/>
      <c r="F92" s="39"/>
      <c r="G92" s="39"/>
      <c r="H92" s="39"/>
      <c r="I92" s="39"/>
      <c r="J92" s="39"/>
      <c r="K92" s="43"/>
      <c r="L92" s="39"/>
      <c r="M92" s="39"/>
      <c r="N92" s="39"/>
      <c r="O92" s="39"/>
      <c r="P92" s="39"/>
    </row>
    <row r="93" customFormat="false" ht="15" hidden="false" customHeight="false" outlineLevel="0" collapsed="false">
      <c r="A93" s="39"/>
      <c r="B93" s="39"/>
      <c r="C93" s="39"/>
      <c r="D93" s="39"/>
      <c r="E93" s="39"/>
      <c r="F93" s="39"/>
      <c r="G93" s="39"/>
      <c r="H93" s="39"/>
      <c r="I93" s="39"/>
      <c r="J93" s="39"/>
      <c r="K93" s="43"/>
      <c r="L93" s="39"/>
      <c r="M93" s="39"/>
      <c r="N93" s="39"/>
      <c r="O93" s="39"/>
      <c r="P93" s="39"/>
    </row>
    <row r="94" customFormat="false" ht="15" hidden="false" customHeight="false" outlineLevel="0" collapsed="false">
      <c r="A94" s="39"/>
      <c r="B94" s="39"/>
      <c r="C94" s="39"/>
      <c r="D94" s="39"/>
      <c r="E94" s="39"/>
      <c r="F94" s="39"/>
      <c r="G94" s="39"/>
      <c r="H94" s="39"/>
      <c r="I94" s="39"/>
      <c r="J94" s="39"/>
      <c r="K94" s="43"/>
      <c r="L94" s="39"/>
      <c r="M94" s="39"/>
      <c r="N94" s="39"/>
      <c r="O94" s="39"/>
      <c r="P94" s="39"/>
    </row>
    <row r="95" customFormat="false" ht="15" hidden="false" customHeight="false" outlineLevel="0" collapsed="false">
      <c r="A95" s="39"/>
      <c r="B95" s="39"/>
      <c r="C95" s="39"/>
      <c r="D95" s="39"/>
      <c r="E95" s="39"/>
      <c r="F95" s="39"/>
      <c r="G95" s="39"/>
      <c r="H95" s="39"/>
      <c r="I95" s="39"/>
      <c r="J95" s="39"/>
      <c r="K95" s="43"/>
      <c r="L95" s="39"/>
      <c r="M95" s="39"/>
      <c r="N95" s="39"/>
      <c r="O95" s="39"/>
      <c r="P95" s="39"/>
    </row>
    <row r="96" customFormat="false" ht="15" hidden="false" customHeight="false" outlineLevel="0" collapsed="false">
      <c r="A96" s="39"/>
      <c r="B96" s="39"/>
      <c r="C96" s="39"/>
      <c r="D96" s="39"/>
      <c r="E96" s="39"/>
      <c r="F96" s="39"/>
      <c r="G96" s="39"/>
      <c r="H96" s="39"/>
      <c r="I96" s="39"/>
      <c r="J96" s="39"/>
      <c r="K96" s="43"/>
      <c r="L96" s="39"/>
      <c r="M96" s="39"/>
      <c r="N96" s="39"/>
      <c r="O96" s="39"/>
      <c r="P96" s="39"/>
    </row>
    <row r="97" customFormat="false" ht="15" hidden="false" customHeight="false" outlineLevel="0" collapsed="false">
      <c r="A97" s="39"/>
      <c r="B97" s="39"/>
      <c r="C97" s="39"/>
      <c r="D97" s="39"/>
      <c r="E97" s="39"/>
      <c r="F97" s="39"/>
      <c r="G97" s="39"/>
      <c r="H97" s="39"/>
      <c r="I97" s="39"/>
      <c r="J97" s="39"/>
      <c r="K97" s="43"/>
      <c r="L97" s="39"/>
      <c r="M97" s="39"/>
      <c r="N97" s="39"/>
      <c r="O97" s="39"/>
      <c r="P97" s="39"/>
    </row>
    <row r="98" customFormat="false" ht="15" hidden="false" customHeight="false" outlineLevel="0" collapsed="false">
      <c r="A98" s="39"/>
      <c r="B98" s="39"/>
      <c r="C98" s="39"/>
      <c r="D98" s="39"/>
      <c r="E98" s="39"/>
      <c r="F98" s="39"/>
      <c r="G98" s="39"/>
      <c r="H98" s="39"/>
      <c r="I98" s="39"/>
      <c r="J98" s="39"/>
      <c r="K98" s="43"/>
      <c r="L98" s="39"/>
      <c r="M98" s="39"/>
      <c r="N98" s="39"/>
      <c r="O98" s="39"/>
      <c r="P98" s="39"/>
    </row>
    <row r="99" customFormat="false" ht="15" hidden="false" customHeight="false" outlineLevel="0" collapsed="false">
      <c r="A99" s="39"/>
      <c r="B99" s="39"/>
      <c r="C99" s="39"/>
      <c r="D99" s="39"/>
      <c r="E99" s="39"/>
      <c r="F99" s="39"/>
      <c r="G99" s="39"/>
      <c r="H99" s="39"/>
      <c r="I99" s="39"/>
      <c r="J99" s="39"/>
      <c r="K99" s="43"/>
      <c r="L99" s="39"/>
      <c r="M99" s="39"/>
      <c r="N99" s="39"/>
      <c r="O99" s="39"/>
      <c r="P99" s="39"/>
    </row>
    <row r="100" customFormat="false" ht="15" hidden="false" customHeight="false" outlineLevel="0" collapsed="false">
      <c r="A100" s="39"/>
      <c r="B100" s="39"/>
      <c r="C100" s="39"/>
      <c r="D100" s="39"/>
      <c r="E100" s="39"/>
      <c r="F100" s="39"/>
      <c r="G100" s="39"/>
      <c r="H100" s="39"/>
      <c r="I100" s="39"/>
      <c r="J100" s="39"/>
      <c r="K100" s="43"/>
      <c r="L100" s="39"/>
      <c r="M100" s="39"/>
      <c r="N100" s="39"/>
      <c r="O100" s="39"/>
      <c r="P100" s="39"/>
    </row>
    <row r="101" customFormat="false" ht="15" hidden="false" customHeight="false" outlineLevel="0" collapsed="false">
      <c r="A101" s="39"/>
      <c r="B101" s="39"/>
      <c r="C101" s="39"/>
      <c r="D101" s="39"/>
      <c r="E101" s="39"/>
      <c r="F101" s="39"/>
      <c r="G101" s="39"/>
      <c r="H101" s="39"/>
      <c r="I101" s="39"/>
      <c r="J101" s="39"/>
      <c r="K101" s="43"/>
      <c r="L101" s="39"/>
      <c r="M101" s="39"/>
      <c r="N101" s="39"/>
      <c r="O101" s="39"/>
      <c r="P101" s="39"/>
    </row>
    <row r="102" customFormat="false" ht="15" hidden="false" customHeight="false" outlineLevel="0" collapsed="false">
      <c r="A102" s="39"/>
      <c r="B102" s="39"/>
      <c r="C102" s="39"/>
      <c r="D102" s="39"/>
      <c r="E102" s="39"/>
      <c r="F102" s="39"/>
      <c r="G102" s="39"/>
      <c r="H102" s="39"/>
      <c r="I102" s="39"/>
      <c r="J102" s="39"/>
      <c r="K102" s="43"/>
      <c r="L102" s="39"/>
      <c r="M102" s="39"/>
      <c r="N102" s="39"/>
      <c r="O102" s="39"/>
      <c r="P102" s="39"/>
    </row>
    <row r="103" customFormat="false" ht="15" hidden="false" customHeight="false" outlineLevel="0" collapsed="false">
      <c r="A103" s="39"/>
      <c r="B103" s="39"/>
      <c r="C103" s="39"/>
      <c r="D103" s="39"/>
      <c r="E103" s="39"/>
      <c r="F103" s="39"/>
      <c r="G103" s="39"/>
      <c r="H103" s="39"/>
      <c r="I103" s="39"/>
      <c r="J103" s="39"/>
      <c r="K103" s="43"/>
      <c r="L103" s="39"/>
      <c r="M103" s="39"/>
      <c r="N103" s="39"/>
      <c r="O103" s="39"/>
      <c r="P103" s="39"/>
    </row>
    <row r="104" customFormat="false" ht="15" hidden="false" customHeight="false" outlineLevel="0" collapsed="false">
      <c r="A104" s="39"/>
      <c r="B104" s="39"/>
      <c r="C104" s="39"/>
      <c r="D104" s="39"/>
      <c r="E104" s="39"/>
      <c r="F104" s="39"/>
      <c r="G104" s="39"/>
      <c r="H104" s="39"/>
      <c r="I104" s="39"/>
      <c r="J104" s="39"/>
      <c r="K104" s="43"/>
      <c r="L104" s="39"/>
      <c r="M104" s="39"/>
      <c r="N104" s="39"/>
      <c r="O104" s="39"/>
      <c r="P104" s="39"/>
    </row>
    <row r="105" customFormat="false" ht="15" hidden="false" customHeight="false" outlineLevel="0" collapsed="false">
      <c r="A105" s="39"/>
      <c r="B105" s="39"/>
      <c r="C105" s="39"/>
      <c r="D105" s="39"/>
      <c r="E105" s="39"/>
      <c r="F105" s="39"/>
      <c r="G105" s="39"/>
      <c r="H105" s="39"/>
      <c r="I105" s="39"/>
      <c r="J105" s="39"/>
      <c r="K105" s="43"/>
      <c r="L105" s="39"/>
      <c r="M105" s="39"/>
      <c r="N105" s="39"/>
      <c r="O105" s="39"/>
      <c r="P105" s="39"/>
    </row>
  </sheetData>
  <mergeCells count="2">
    <mergeCell ref="A1:P1"/>
    <mergeCell ref="A2:P2"/>
  </mergeCells>
  <conditionalFormatting sqref="K5:K105">
    <cfRule type="expression" priority="2" aboveAverage="0" equalAverage="0" bottom="0" percent="0" rank="0" text="" dxfId="0">
      <formula>AND(ISNUMBER(K5),K5&lt;TODAY())</formula>
    </cfRule>
    <cfRule type="expression" priority="3" aboveAverage="0" equalAverage="0" bottom="0" percent="0" rank="0" text="" dxfId="2">
      <formula>AND(ISNUMBER(K5),K5-TODAY()&lt;=ExpiryWarnDays)</formula>
    </cfRule>
  </conditionalFormatting>
  <dataValidations count="4">
    <dataValidation allowBlank="true" errorStyle="stop" operator="between" showDropDown="false" showErrorMessage="false" showInputMessage="false" sqref="B5:B105" type="list">
      <formula1>AssetType</formula1>
      <formula2>0</formula2>
    </dataValidation>
    <dataValidation allowBlank="true" error="Enter a date, e.g. 2026-10-22." errorStyle="stop" errorTitle="Date required" operator="greaterThan" showDropDown="false" showErrorMessage="true" showInputMessage="false" sqref="K5:K105" type="date">
      <formula1>1</formula1>
      <formula2>0</formula2>
    </dataValidation>
    <dataValidation allowBlank="true" errorStyle="stop" operator="between" showDropDown="false" showErrorMessage="false" showInputMessage="false" sqref="M5:M105" type="list">
      <formula1>RecoveryMethod</formula1>
      <formula2>0</formula2>
    </dataValidation>
    <dataValidation allowBlank="true" errorStyle="stop" operator="between" showDropDown="false" showErrorMessage="false" showInputMessage="false" sqref="N5:N105" type="list">
      <formula1>YesNo</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&amp;A&amp;R&amp;8 Powered by MSP Culture  |  v1.0  |  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8FF"/>
    <pageSetUpPr fitToPage="true"/>
  </sheetPr>
  <dimension ref="A1:L1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16"/>
    <col collapsed="false" customWidth="true" hidden="false" outlineLevel="0" max="4" min="4" style="0" width="12"/>
    <col collapsed="false" customWidth="true" hidden="false" outlineLevel="0" max="5" min="5" style="0" width="16"/>
    <col collapsed="false" customWidth="true" hidden="false" outlineLevel="0" max="6" min="6" style="0" width="14"/>
    <col collapsed="false" customWidth="true" hidden="false" outlineLevel="0" max="7" min="7" style="0" width="16"/>
    <col collapsed="false" customWidth="true" hidden="false" outlineLevel="0" max="8" min="8" style="0" width="14"/>
    <col collapsed="false" customWidth="true" hidden="false" outlineLevel="0" max="9" min="9" style="0" width="20"/>
    <col collapsed="false" customWidth="true" hidden="false" outlineLevel="0" max="10" min="10" style="0" width="12"/>
    <col collapsed="false" customWidth="true" hidden="false" outlineLevel="0" max="11" min="11" style="0" width="24"/>
    <col collapsed="false" customWidth="true" hidden="false" outlineLevel="0" max="12" min="12" style="0" width="22"/>
  </cols>
  <sheetData>
    <row r="1" customFormat="false" ht="33.75" hidden="false" customHeight="true" outlineLevel="0" collapsed="false">
      <c r="A1" s="26" t="str">
        <f aca="false">IF(PreparedFor="","Network, Connectivity &amp; External Dependencies","Network, Connectivity &amp; External Dependencies  |  "&amp;PreparedFor)</f>
        <v>Network, Connectivity &amp; External Dependencies</v>
      </c>
      <c r="B1" s="26"/>
      <c r="C1" s="26"/>
      <c r="D1" s="26"/>
      <c r="E1" s="26"/>
      <c r="F1" s="26"/>
      <c r="G1" s="26"/>
      <c r="H1" s="26"/>
      <c r="I1" s="26"/>
      <c r="J1" s="26"/>
      <c r="K1" s="26"/>
      <c r="L1" s="26"/>
    </row>
    <row r="2" customFormat="false" ht="48" hidden="false" customHeight="true" outlineLevel="0" collapsed="false">
      <c r="A2" s="27" t="s">
        <v>290</v>
      </c>
      <c r="B2" s="27"/>
      <c r="C2" s="27"/>
      <c r="D2" s="27"/>
      <c r="E2" s="27"/>
      <c r="F2" s="27"/>
      <c r="G2" s="27"/>
      <c r="H2" s="27"/>
      <c r="I2" s="27"/>
      <c r="J2" s="27"/>
      <c r="K2" s="27"/>
      <c r="L2" s="27"/>
    </row>
    <row r="3" customFormat="false" ht="42" hidden="false" customHeight="true" outlineLevel="0" collapsed="false">
      <c r="A3" s="33" t="s">
        <v>291</v>
      </c>
      <c r="B3" s="33" t="s">
        <v>292</v>
      </c>
      <c r="C3" s="33" t="s">
        <v>293</v>
      </c>
      <c r="D3" s="33" t="s">
        <v>294</v>
      </c>
      <c r="E3" s="33" t="s">
        <v>295</v>
      </c>
      <c r="F3" s="33" t="s">
        <v>296</v>
      </c>
      <c r="G3" s="33" t="s">
        <v>297</v>
      </c>
      <c r="H3" s="33" t="s">
        <v>298</v>
      </c>
      <c r="I3" s="33" t="s">
        <v>299</v>
      </c>
      <c r="J3" s="33" t="s">
        <v>300</v>
      </c>
      <c r="K3" s="33" t="s">
        <v>301</v>
      </c>
      <c r="L3" s="33" t="s">
        <v>177</v>
      </c>
    </row>
    <row r="4" customFormat="false" ht="66" hidden="false" customHeight="true" outlineLevel="0" collapsed="false">
      <c r="A4" s="35"/>
      <c r="B4" s="35"/>
      <c r="C4" s="35"/>
      <c r="D4" s="35"/>
      <c r="E4" s="35"/>
      <c r="F4" s="35"/>
      <c r="G4" s="35"/>
      <c r="H4" s="35"/>
      <c r="I4" s="35"/>
      <c r="J4" s="35" t="s">
        <v>302</v>
      </c>
      <c r="K4" s="35"/>
      <c r="L4" s="35"/>
    </row>
    <row r="5" customFormat="false" ht="15" hidden="false" customHeight="false" outlineLevel="0" collapsed="false">
      <c r="A5" s="36" t="s">
        <v>303</v>
      </c>
      <c r="B5" s="36" t="s">
        <v>304</v>
      </c>
      <c r="C5" s="36" t="s">
        <v>305</v>
      </c>
      <c r="D5" s="36" t="s">
        <v>306</v>
      </c>
      <c r="E5" s="36" t="s">
        <v>307</v>
      </c>
      <c r="F5" s="36" t="s">
        <v>308</v>
      </c>
      <c r="G5" s="36" t="s">
        <v>309</v>
      </c>
      <c r="H5" s="36" t="s">
        <v>310</v>
      </c>
      <c r="I5" s="36" t="s">
        <v>311</v>
      </c>
      <c r="J5" s="42"/>
      <c r="K5" s="36" t="s">
        <v>312</v>
      </c>
      <c r="L5" s="36"/>
    </row>
    <row r="6" customFormat="false" ht="15" hidden="false" customHeight="false" outlineLevel="0" collapsed="false">
      <c r="A6" s="39"/>
      <c r="B6" s="39"/>
      <c r="C6" s="39"/>
      <c r="D6" s="39"/>
      <c r="E6" s="39"/>
      <c r="F6" s="39"/>
      <c r="G6" s="39"/>
      <c r="H6" s="39"/>
      <c r="I6" s="39"/>
      <c r="J6" s="43"/>
      <c r="K6" s="39"/>
      <c r="L6" s="39"/>
    </row>
    <row r="7" customFormat="false" ht="15" hidden="false" customHeight="false" outlineLevel="0" collapsed="false">
      <c r="A7" s="39"/>
      <c r="B7" s="39"/>
      <c r="C7" s="39"/>
      <c r="D7" s="39"/>
      <c r="E7" s="39"/>
      <c r="F7" s="39"/>
      <c r="G7" s="39"/>
      <c r="H7" s="39"/>
      <c r="I7" s="39"/>
      <c r="J7" s="43"/>
      <c r="K7" s="39"/>
      <c r="L7" s="39"/>
    </row>
    <row r="8" customFormat="false" ht="15" hidden="false" customHeight="false" outlineLevel="0" collapsed="false">
      <c r="A8" s="39"/>
      <c r="B8" s="39"/>
      <c r="C8" s="39"/>
      <c r="D8" s="39"/>
      <c r="E8" s="39"/>
      <c r="F8" s="39"/>
      <c r="G8" s="39"/>
      <c r="H8" s="39"/>
      <c r="I8" s="39"/>
      <c r="J8" s="43"/>
      <c r="K8" s="39"/>
      <c r="L8" s="39"/>
    </row>
    <row r="9" customFormat="false" ht="15" hidden="false" customHeight="false" outlineLevel="0" collapsed="false">
      <c r="A9" s="39"/>
      <c r="B9" s="39"/>
      <c r="C9" s="39"/>
      <c r="D9" s="39"/>
      <c r="E9" s="39"/>
      <c r="F9" s="39"/>
      <c r="G9" s="39"/>
      <c r="H9" s="39"/>
      <c r="I9" s="39"/>
      <c r="J9" s="43"/>
      <c r="K9" s="39"/>
      <c r="L9" s="39"/>
    </row>
    <row r="10" customFormat="false" ht="15" hidden="false" customHeight="false" outlineLevel="0" collapsed="false">
      <c r="A10" s="39"/>
      <c r="B10" s="39"/>
      <c r="C10" s="39"/>
      <c r="D10" s="39"/>
      <c r="E10" s="39"/>
      <c r="F10" s="39"/>
      <c r="G10" s="39"/>
      <c r="H10" s="39"/>
      <c r="I10" s="39"/>
      <c r="J10" s="43"/>
      <c r="K10" s="39"/>
      <c r="L10" s="39"/>
    </row>
    <row r="11" customFormat="false" ht="15" hidden="false" customHeight="false" outlineLevel="0" collapsed="false">
      <c r="A11" s="39"/>
      <c r="B11" s="39"/>
      <c r="C11" s="39"/>
      <c r="D11" s="39"/>
      <c r="E11" s="39"/>
      <c r="F11" s="39"/>
      <c r="G11" s="39"/>
      <c r="H11" s="39"/>
      <c r="I11" s="39"/>
      <c r="J11" s="43"/>
      <c r="K11" s="39"/>
      <c r="L11" s="39"/>
    </row>
    <row r="12" customFormat="false" ht="15" hidden="false" customHeight="false" outlineLevel="0" collapsed="false">
      <c r="A12" s="39"/>
      <c r="B12" s="39"/>
      <c r="C12" s="39"/>
      <c r="D12" s="39"/>
      <c r="E12" s="39"/>
      <c r="F12" s="39"/>
      <c r="G12" s="39"/>
      <c r="H12" s="39"/>
      <c r="I12" s="39"/>
      <c r="J12" s="43"/>
      <c r="K12" s="39"/>
      <c r="L12" s="39"/>
    </row>
    <row r="13" customFormat="false" ht="15" hidden="false" customHeight="false" outlineLevel="0" collapsed="false">
      <c r="A13" s="39"/>
      <c r="B13" s="39"/>
      <c r="C13" s="39"/>
      <c r="D13" s="39"/>
      <c r="E13" s="39"/>
      <c r="F13" s="39"/>
      <c r="G13" s="39"/>
      <c r="H13" s="39"/>
      <c r="I13" s="39"/>
      <c r="J13" s="43"/>
      <c r="K13" s="39"/>
      <c r="L13" s="39"/>
    </row>
    <row r="14" customFormat="false" ht="15" hidden="false" customHeight="false" outlineLevel="0" collapsed="false">
      <c r="A14" s="39"/>
      <c r="B14" s="39"/>
      <c r="C14" s="39"/>
      <c r="D14" s="39"/>
      <c r="E14" s="39"/>
      <c r="F14" s="39"/>
      <c r="G14" s="39"/>
      <c r="H14" s="39"/>
      <c r="I14" s="39"/>
      <c r="J14" s="43"/>
      <c r="K14" s="39"/>
      <c r="L14" s="39"/>
    </row>
    <row r="15" customFormat="false" ht="15" hidden="false" customHeight="false" outlineLevel="0" collapsed="false">
      <c r="A15" s="39"/>
      <c r="B15" s="39"/>
      <c r="C15" s="39"/>
      <c r="D15" s="39"/>
      <c r="E15" s="39"/>
      <c r="F15" s="39"/>
      <c r="G15" s="39"/>
      <c r="H15" s="39"/>
      <c r="I15" s="39"/>
      <c r="J15" s="43"/>
      <c r="K15" s="39"/>
      <c r="L15" s="39"/>
    </row>
    <row r="16" customFormat="false" ht="15" hidden="false" customHeight="false" outlineLevel="0" collapsed="false">
      <c r="A16" s="39"/>
      <c r="B16" s="39"/>
      <c r="C16" s="39"/>
      <c r="D16" s="39"/>
      <c r="E16" s="39"/>
      <c r="F16" s="39"/>
      <c r="G16" s="39"/>
      <c r="H16" s="39"/>
      <c r="I16" s="39"/>
      <c r="J16" s="43"/>
      <c r="K16" s="39"/>
      <c r="L16" s="39"/>
    </row>
    <row r="17" customFormat="false" ht="15" hidden="false" customHeight="false" outlineLevel="0" collapsed="false">
      <c r="A17" s="39"/>
      <c r="B17" s="39"/>
      <c r="C17" s="39"/>
      <c r="D17" s="39"/>
      <c r="E17" s="39"/>
      <c r="F17" s="39"/>
      <c r="G17" s="39"/>
      <c r="H17" s="39"/>
      <c r="I17" s="39"/>
      <c r="J17" s="43"/>
      <c r="K17" s="39"/>
      <c r="L17" s="39"/>
    </row>
    <row r="18" customFormat="false" ht="15" hidden="false" customHeight="false" outlineLevel="0" collapsed="false">
      <c r="A18" s="39"/>
      <c r="B18" s="39"/>
      <c r="C18" s="39"/>
      <c r="D18" s="39"/>
      <c r="E18" s="39"/>
      <c r="F18" s="39"/>
      <c r="G18" s="39"/>
      <c r="H18" s="39"/>
      <c r="I18" s="39"/>
      <c r="J18" s="43"/>
      <c r="K18" s="39"/>
      <c r="L18" s="39"/>
    </row>
    <row r="19" customFormat="false" ht="15" hidden="false" customHeight="false" outlineLevel="0" collapsed="false">
      <c r="A19" s="39"/>
      <c r="B19" s="39"/>
      <c r="C19" s="39"/>
      <c r="D19" s="39"/>
      <c r="E19" s="39"/>
      <c r="F19" s="39"/>
      <c r="G19" s="39"/>
      <c r="H19" s="39"/>
      <c r="I19" s="39"/>
      <c r="J19" s="43"/>
      <c r="K19" s="39"/>
      <c r="L19" s="39"/>
    </row>
    <row r="20" customFormat="false" ht="15" hidden="false" customHeight="false" outlineLevel="0" collapsed="false">
      <c r="A20" s="39"/>
      <c r="B20" s="39"/>
      <c r="C20" s="39"/>
      <c r="D20" s="39"/>
      <c r="E20" s="39"/>
      <c r="F20" s="39"/>
      <c r="G20" s="39"/>
      <c r="H20" s="39"/>
      <c r="I20" s="39"/>
      <c r="J20" s="43"/>
      <c r="K20" s="39"/>
      <c r="L20" s="39"/>
    </row>
    <row r="21" customFormat="false" ht="15" hidden="false" customHeight="false" outlineLevel="0" collapsed="false">
      <c r="A21" s="39"/>
      <c r="B21" s="39"/>
      <c r="C21" s="39"/>
      <c r="D21" s="39"/>
      <c r="E21" s="39"/>
      <c r="F21" s="39"/>
      <c r="G21" s="39"/>
      <c r="H21" s="39"/>
      <c r="I21" s="39"/>
      <c r="J21" s="43"/>
      <c r="K21" s="39"/>
      <c r="L21" s="39"/>
    </row>
    <row r="22" customFormat="false" ht="15" hidden="false" customHeight="false" outlineLevel="0" collapsed="false">
      <c r="A22" s="39"/>
      <c r="B22" s="39"/>
      <c r="C22" s="39"/>
      <c r="D22" s="39"/>
      <c r="E22" s="39"/>
      <c r="F22" s="39"/>
      <c r="G22" s="39"/>
      <c r="H22" s="39"/>
      <c r="I22" s="39"/>
      <c r="J22" s="43"/>
      <c r="K22" s="39"/>
      <c r="L22" s="39"/>
    </row>
    <row r="23" customFormat="false" ht="15" hidden="false" customHeight="false" outlineLevel="0" collapsed="false">
      <c r="A23" s="39"/>
      <c r="B23" s="39"/>
      <c r="C23" s="39"/>
      <c r="D23" s="39"/>
      <c r="E23" s="39"/>
      <c r="F23" s="39"/>
      <c r="G23" s="39"/>
      <c r="H23" s="39"/>
      <c r="I23" s="39"/>
      <c r="J23" s="43"/>
      <c r="K23" s="39"/>
      <c r="L23" s="39"/>
    </row>
    <row r="24" customFormat="false" ht="15" hidden="false" customHeight="false" outlineLevel="0" collapsed="false">
      <c r="A24" s="39"/>
      <c r="B24" s="39"/>
      <c r="C24" s="39"/>
      <c r="D24" s="39"/>
      <c r="E24" s="39"/>
      <c r="F24" s="39"/>
      <c r="G24" s="39"/>
      <c r="H24" s="39"/>
      <c r="I24" s="39"/>
      <c r="J24" s="43"/>
      <c r="K24" s="39"/>
      <c r="L24" s="39"/>
    </row>
    <row r="25" customFormat="false" ht="15" hidden="false" customHeight="false" outlineLevel="0" collapsed="false">
      <c r="A25" s="39"/>
      <c r="B25" s="39"/>
      <c r="C25" s="39"/>
      <c r="D25" s="39"/>
      <c r="E25" s="39"/>
      <c r="F25" s="39"/>
      <c r="G25" s="39"/>
      <c r="H25" s="39"/>
      <c r="I25" s="39"/>
      <c r="J25" s="43"/>
      <c r="K25" s="39"/>
      <c r="L25" s="39"/>
    </row>
    <row r="26" customFormat="false" ht="15" hidden="false" customHeight="false" outlineLevel="0" collapsed="false">
      <c r="A26" s="39"/>
      <c r="B26" s="39"/>
      <c r="C26" s="39"/>
      <c r="D26" s="39"/>
      <c r="E26" s="39"/>
      <c r="F26" s="39"/>
      <c r="G26" s="39"/>
      <c r="H26" s="39"/>
      <c r="I26" s="39"/>
      <c r="J26" s="43"/>
      <c r="K26" s="39"/>
      <c r="L26" s="39"/>
    </row>
    <row r="27" customFormat="false" ht="15" hidden="false" customHeight="false" outlineLevel="0" collapsed="false">
      <c r="A27" s="39"/>
      <c r="B27" s="39"/>
      <c r="C27" s="39"/>
      <c r="D27" s="39"/>
      <c r="E27" s="39"/>
      <c r="F27" s="39"/>
      <c r="G27" s="39"/>
      <c r="H27" s="39"/>
      <c r="I27" s="39"/>
      <c r="J27" s="43"/>
      <c r="K27" s="39"/>
      <c r="L27" s="39"/>
    </row>
    <row r="28" customFormat="false" ht="15" hidden="false" customHeight="false" outlineLevel="0" collapsed="false">
      <c r="A28" s="39"/>
      <c r="B28" s="39"/>
      <c r="C28" s="39"/>
      <c r="D28" s="39"/>
      <c r="E28" s="39"/>
      <c r="F28" s="39"/>
      <c r="G28" s="39"/>
      <c r="H28" s="39"/>
      <c r="I28" s="39"/>
      <c r="J28" s="43"/>
      <c r="K28" s="39"/>
      <c r="L28" s="39"/>
    </row>
    <row r="29" customFormat="false" ht="15" hidden="false" customHeight="false" outlineLevel="0" collapsed="false">
      <c r="A29" s="39"/>
      <c r="B29" s="39"/>
      <c r="C29" s="39"/>
      <c r="D29" s="39"/>
      <c r="E29" s="39"/>
      <c r="F29" s="39"/>
      <c r="G29" s="39"/>
      <c r="H29" s="39"/>
      <c r="I29" s="39"/>
      <c r="J29" s="43"/>
      <c r="K29" s="39"/>
      <c r="L29" s="39"/>
    </row>
    <row r="30" customFormat="false" ht="15" hidden="false" customHeight="false" outlineLevel="0" collapsed="false">
      <c r="A30" s="39"/>
      <c r="B30" s="39"/>
      <c r="C30" s="39"/>
      <c r="D30" s="39"/>
      <c r="E30" s="39"/>
      <c r="F30" s="39"/>
      <c r="G30" s="39"/>
      <c r="H30" s="39"/>
      <c r="I30" s="39"/>
      <c r="J30" s="43"/>
      <c r="K30" s="39"/>
      <c r="L30" s="39"/>
    </row>
    <row r="31" customFormat="false" ht="15" hidden="false" customHeight="false" outlineLevel="0" collapsed="false">
      <c r="A31" s="39"/>
      <c r="B31" s="39"/>
      <c r="C31" s="39"/>
      <c r="D31" s="39"/>
      <c r="E31" s="39"/>
      <c r="F31" s="39"/>
      <c r="G31" s="39"/>
      <c r="H31" s="39"/>
      <c r="I31" s="39"/>
      <c r="J31" s="43"/>
      <c r="K31" s="39"/>
      <c r="L31" s="39"/>
    </row>
    <row r="32" customFormat="false" ht="15" hidden="false" customHeight="false" outlineLevel="0" collapsed="false">
      <c r="A32" s="39"/>
      <c r="B32" s="39"/>
      <c r="C32" s="39"/>
      <c r="D32" s="39"/>
      <c r="E32" s="39"/>
      <c r="F32" s="39"/>
      <c r="G32" s="39"/>
      <c r="H32" s="39"/>
      <c r="I32" s="39"/>
      <c r="J32" s="43"/>
      <c r="K32" s="39"/>
      <c r="L32" s="39"/>
    </row>
    <row r="33" customFormat="false" ht="15" hidden="false" customHeight="false" outlineLevel="0" collapsed="false">
      <c r="A33" s="39"/>
      <c r="B33" s="39"/>
      <c r="C33" s="39"/>
      <c r="D33" s="39"/>
      <c r="E33" s="39"/>
      <c r="F33" s="39"/>
      <c r="G33" s="39"/>
      <c r="H33" s="39"/>
      <c r="I33" s="39"/>
      <c r="J33" s="43"/>
      <c r="K33" s="39"/>
      <c r="L33" s="39"/>
    </row>
    <row r="34" customFormat="false" ht="15" hidden="false" customHeight="false" outlineLevel="0" collapsed="false">
      <c r="A34" s="39"/>
      <c r="B34" s="39"/>
      <c r="C34" s="39"/>
      <c r="D34" s="39"/>
      <c r="E34" s="39"/>
      <c r="F34" s="39"/>
      <c r="G34" s="39"/>
      <c r="H34" s="39"/>
      <c r="I34" s="39"/>
      <c r="J34" s="43"/>
      <c r="K34" s="39"/>
      <c r="L34" s="39"/>
    </row>
    <row r="35" customFormat="false" ht="15" hidden="false" customHeight="false" outlineLevel="0" collapsed="false">
      <c r="A35" s="39"/>
      <c r="B35" s="39"/>
      <c r="C35" s="39"/>
      <c r="D35" s="39"/>
      <c r="E35" s="39"/>
      <c r="F35" s="39"/>
      <c r="G35" s="39"/>
      <c r="H35" s="39"/>
      <c r="I35" s="39"/>
      <c r="J35" s="43"/>
      <c r="K35" s="39"/>
      <c r="L35" s="39"/>
    </row>
    <row r="36" customFormat="false" ht="15" hidden="false" customHeight="false" outlineLevel="0" collapsed="false">
      <c r="A36" s="39"/>
      <c r="B36" s="39"/>
      <c r="C36" s="39"/>
      <c r="D36" s="39"/>
      <c r="E36" s="39"/>
      <c r="F36" s="39"/>
      <c r="G36" s="39"/>
      <c r="H36" s="39"/>
      <c r="I36" s="39"/>
      <c r="J36" s="43"/>
      <c r="K36" s="39"/>
      <c r="L36" s="39"/>
    </row>
    <row r="37" customFormat="false" ht="15" hidden="false" customHeight="false" outlineLevel="0" collapsed="false">
      <c r="A37" s="39"/>
      <c r="B37" s="39"/>
      <c r="C37" s="39"/>
      <c r="D37" s="39"/>
      <c r="E37" s="39"/>
      <c r="F37" s="39"/>
      <c r="G37" s="39"/>
      <c r="H37" s="39"/>
      <c r="I37" s="39"/>
      <c r="J37" s="43"/>
      <c r="K37" s="39"/>
      <c r="L37" s="39"/>
    </row>
    <row r="38" customFormat="false" ht="15" hidden="false" customHeight="false" outlineLevel="0" collapsed="false">
      <c r="A38" s="39"/>
      <c r="B38" s="39"/>
      <c r="C38" s="39"/>
      <c r="D38" s="39"/>
      <c r="E38" s="39"/>
      <c r="F38" s="39"/>
      <c r="G38" s="39"/>
      <c r="H38" s="39"/>
      <c r="I38" s="39"/>
      <c r="J38" s="43"/>
      <c r="K38" s="39"/>
      <c r="L38" s="39"/>
    </row>
    <row r="39" customFormat="false" ht="15" hidden="false" customHeight="false" outlineLevel="0" collapsed="false">
      <c r="A39" s="39"/>
      <c r="B39" s="39"/>
      <c r="C39" s="39"/>
      <c r="D39" s="39"/>
      <c r="E39" s="39"/>
      <c r="F39" s="39"/>
      <c r="G39" s="39"/>
      <c r="H39" s="39"/>
      <c r="I39" s="39"/>
      <c r="J39" s="43"/>
      <c r="K39" s="39"/>
      <c r="L39" s="39"/>
    </row>
    <row r="40" customFormat="false" ht="15" hidden="false" customHeight="false" outlineLevel="0" collapsed="false">
      <c r="A40" s="39"/>
      <c r="B40" s="39"/>
      <c r="C40" s="39"/>
      <c r="D40" s="39"/>
      <c r="E40" s="39"/>
      <c r="F40" s="39"/>
      <c r="G40" s="39"/>
      <c r="H40" s="39"/>
      <c r="I40" s="39"/>
      <c r="J40" s="43"/>
      <c r="K40" s="39"/>
      <c r="L40" s="39"/>
    </row>
    <row r="41" customFormat="false" ht="15" hidden="false" customHeight="false" outlineLevel="0" collapsed="false">
      <c r="A41" s="39"/>
      <c r="B41" s="39"/>
      <c r="C41" s="39"/>
      <c r="D41" s="39"/>
      <c r="E41" s="39"/>
      <c r="F41" s="39"/>
      <c r="G41" s="39"/>
      <c r="H41" s="39"/>
      <c r="I41" s="39"/>
      <c r="J41" s="43"/>
      <c r="K41" s="39"/>
      <c r="L41" s="39"/>
    </row>
    <row r="42" customFormat="false" ht="15" hidden="false" customHeight="false" outlineLevel="0" collapsed="false">
      <c r="A42" s="39"/>
      <c r="B42" s="39"/>
      <c r="C42" s="39"/>
      <c r="D42" s="39"/>
      <c r="E42" s="39"/>
      <c r="F42" s="39"/>
      <c r="G42" s="39"/>
      <c r="H42" s="39"/>
      <c r="I42" s="39"/>
      <c r="J42" s="43"/>
      <c r="K42" s="39"/>
      <c r="L42" s="39"/>
    </row>
    <row r="43" customFormat="false" ht="15" hidden="false" customHeight="false" outlineLevel="0" collapsed="false">
      <c r="A43" s="39"/>
      <c r="B43" s="39"/>
      <c r="C43" s="39"/>
      <c r="D43" s="39"/>
      <c r="E43" s="39"/>
      <c r="F43" s="39"/>
      <c r="G43" s="39"/>
      <c r="H43" s="39"/>
      <c r="I43" s="39"/>
      <c r="J43" s="43"/>
      <c r="K43" s="39"/>
      <c r="L43" s="39"/>
    </row>
    <row r="44" customFormat="false" ht="15" hidden="false" customHeight="false" outlineLevel="0" collapsed="false">
      <c r="A44" s="39"/>
      <c r="B44" s="39"/>
      <c r="C44" s="39"/>
      <c r="D44" s="39"/>
      <c r="E44" s="39"/>
      <c r="F44" s="39"/>
      <c r="G44" s="39"/>
      <c r="H44" s="39"/>
      <c r="I44" s="39"/>
      <c r="J44" s="43"/>
      <c r="K44" s="39"/>
      <c r="L44" s="39"/>
    </row>
    <row r="45" customFormat="false" ht="15" hidden="false" customHeight="false" outlineLevel="0" collapsed="false">
      <c r="A45" s="39"/>
      <c r="B45" s="39"/>
      <c r="C45" s="39"/>
      <c r="D45" s="39"/>
      <c r="E45" s="39"/>
      <c r="F45" s="39"/>
      <c r="G45" s="39"/>
      <c r="H45" s="39"/>
      <c r="I45" s="39"/>
      <c r="J45" s="43"/>
      <c r="K45" s="39"/>
      <c r="L45" s="39"/>
    </row>
    <row r="46" customFormat="false" ht="15" hidden="false" customHeight="false" outlineLevel="0" collapsed="false">
      <c r="A46" s="39"/>
      <c r="B46" s="39"/>
      <c r="C46" s="39"/>
      <c r="D46" s="39"/>
      <c r="E46" s="39"/>
      <c r="F46" s="39"/>
      <c r="G46" s="39"/>
      <c r="H46" s="39"/>
      <c r="I46" s="39"/>
      <c r="J46" s="43"/>
      <c r="K46" s="39"/>
      <c r="L46" s="39"/>
    </row>
    <row r="47" customFormat="false" ht="15" hidden="false" customHeight="false" outlineLevel="0" collapsed="false">
      <c r="A47" s="39"/>
      <c r="B47" s="39"/>
      <c r="C47" s="39"/>
      <c r="D47" s="39"/>
      <c r="E47" s="39"/>
      <c r="F47" s="39"/>
      <c r="G47" s="39"/>
      <c r="H47" s="39"/>
      <c r="I47" s="39"/>
      <c r="J47" s="43"/>
      <c r="K47" s="39"/>
      <c r="L47" s="39"/>
    </row>
    <row r="48" customFormat="false" ht="15" hidden="false" customHeight="false" outlineLevel="0" collapsed="false">
      <c r="A48" s="39"/>
      <c r="B48" s="39"/>
      <c r="C48" s="39"/>
      <c r="D48" s="39"/>
      <c r="E48" s="39"/>
      <c r="F48" s="39"/>
      <c r="G48" s="39"/>
      <c r="H48" s="39"/>
      <c r="I48" s="39"/>
      <c r="J48" s="43"/>
      <c r="K48" s="39"/>
      <c r="L48" s="39"/>
    </row>
    <row r="49" customFormat="false" ht="15" hidden="false" customHeight="false" outlineLevel="0" collapsed="false">
      <c r="A49" s="39"/>
      <c r="B49" s="39"/>
      <c r="C49" s="39"/>
      <c r="D49" s="39"/>
      <c r="E49" s="39"/>
      <c r="F49" s="39"/>
      <c r="G49" s="39"/>
      <c r="H49" s="39"/>
      <c r="I49" s="39"/>
      <c r="J49" s="43"/>
      <c r="K49" s="39"/>
      <c r="L49" s="39"/>
    </row>
    <row r="50" customFormat="false" ht="15" hidden="false" customHeight="false" outlineLevel="0" collapsed="false">
      <c r="A50" s="39"/>
      <c r="B50" s="39"/>
      <c r="C50" s="39"/>
      <c r="D50" s="39"/>
      <c r="E50" s="39"/>
      <c r="F50" s="39"/>
      <c r="G50" s="39"/>
      <c r="H50" s="39"/>
      <c r="I50" s="39"/>
      <c r="J50" s="43"/>
      <c r="K50" s="39"/>
      <c r="L50" s="39"/>
    </row>
    <row r="51" customFormat="false" ht="15" hidden="false" customHeight="false" outlineLevel="0" collapsed="false">
      <c r="A51" s="39"/>
      <c r="B51" s="39"/>
      <c r="C51" s="39"/>
      <c r="D51" s="39"/>
      <c r="E51" s="39"/>
      <c r="F51" s="39"/>
      <c r="G51" s="39"/>
      <c r="H51" s="39"/>
      <c r="I51" s="39"/>
      <c r="J51" s="43"/>
      <c r="K51" s="39"/>
      <c r="L51" s="39"/>
    </row>
    <row r="52" customFormat="false" ht="15" hidden="false" customHeight="false" outlineLevel="0" collapsed="false">
      <c r="A52" s="39"/>
      <c r="B52" s="39"/>
      <c r="C52" s="39"/>
      <c r="D52" s="39"/>
      <c r="E52" s="39"/>
      <c r="F52" s="39"/>
      <c r="G52" s="39"/>
      <c r="H52" s="39"/>
      <c r="I52" s="39"/>
      <c r="J52" s="43"/>
      <c r="K52" s="39"/>
      <c r="L52" s="39"/>
    </row>
    <row r="53" customFormat="false" ht="15" hidden="false" customHeight="false" outlineLevel="0" collapsed="false">
      <c r="A53" s="39"/>
      <c r="B53" s="39"/>
      <c r="C53" s="39"/>
      <c r="D53" s="39"/>
      <c r="E53" s="39"/>
      <c r="F53" s="39"/>
      <c r="G53" s="39"/>
      <c r="H53" s="39"/>
      <c r="I53" s="39"/>
      <c r="J53" s="43"/>
      <c r="K53" s="39"/>
      <c r="L53" s="39"/>
    </row>
    <row r="54" customFormat="false" ht="15" hidden="false" customHeight="false" outlineLevel="0" collapsed="false">
      <c r="A54" s="39"/>
      <c r="B54" s="39"/>
      <c r="C54" s="39"/>
      <c r="D54" s="39"/>
      <c r="E54" s="39"/>
      <c r="F54" s="39"/>
      <c r="G54" s="39"/>
      <c r="H54" s="39"/>
      <c r="I54" s="39"/>
      <c r="J54" s="43"/>
      <c r="K54" s="39"/>
      <c r="L54" s="39"/>
    </row>
    <row r="55" customFormat="false" ht="15" hidden="false" customHeight="false" outlineLevel="0" collapsed="false">
      <c r="A55" s="39"/>
      <c r="B55" s="39"/>
      <c r="C55" s="39"/>
      <c r="D55" s="39"/>
      <c r="E55" s="39"/>
      <c r="F55" s="39"/>
      <c r="G55" s="39"/>
      <c r="H55" s="39"/>
      <c r="I55" s="39"/>
      <c r="J55" s="43"/>
      <c r="K55" s="39"/>
      <c r="L55" s="39"/>
    </row>
    <row r="56" customFormat="false" ht="15" hidden="false" customHeight="false" outlineLevel="0" collapsed="false">
      <c r="A56" s="39"/>
      <c r="B56" s="39"/>
      <c r="C56" s="39"/>
      <c r="D56" s="39"/>
      <c r="E56" s="39"/>
      <c r="F56" s="39"/>
      <c r="G56" s="39"/>
      <c r="H56" s="39"/>
      <c r="I56" s="39"/>
      <c r="J56" s="43"/>
      <c r="K56" s="39"/>
      <c r="L56" s="39"/>
    </row>
    <row r="57" customFormat="false" ht="15" hidden="false" customHeight="false" outlineLevel="0" collapsed="false">
      <c r="A57" s="39"/>
      <c r="B57" s="39"/>
      <c r="C57" s="39"/>
      <c r="D57" s="39"/>
      <c r="E57" s="39"/>
      <c r="F57" s="39"/>
      <c r="G57" s="39"/>
      <c r="H57" s="39"/>
      <c r="I57" s="39"/>
      <c r="J57" s="43"/>
      <c r="K57" s="39"/>
      <c r="L57" s="39"/>
    </row>
    <row r="58" customFormat="false" ht="15" hidden="false" customHeight="false" outlineLevel="0" collapsed="false">
      <c r="A58" s="39"/>
      <c r="B58" s="39"/>
      <c r="C58" s="39"/>
      <c r="D58" s="39"/>
      <c r="E58" s="39"/>
      <c r="F58" s="39"/>
      <c r="G58" s="39"/>
      <c r="H58" s="39"/>
      <c r="I58" s="39"/>
      <c r="J58" s="43"/>
      <c r="K58" s="39"/>
      <c r="L58" s="39"/>
    </row>
    <row r="59" customFormat="false" ht="15" hidden="false" customHeight="false" outlineLevel="0" collapsed="false">
      <c r="A59" s="39"/>
      <c r="B59" s="39"/>
      <c r="C59" s="39"/>
      <c r="D59" s="39"/>
      <c r="E59" s="39"/>
      <c r="F59" s="39"/>
      <c r="G59" s="39"/>
      <c r="H59" s="39"/>
      <c r="I59" s="39"/>
      <c r="J59" s="43"/>
      <c r="K59" s="39"/>
      <c r="L59" s="39"/>
    </row>
    <row r="60" customFormat="false" ht="15" hidden="false" customHeight="false" outlineLevel="0" collapsed="false">
      <c r="A60" s="39"/>
      <c r="B60" s="39"/>
      <c r="C60" s="39"/>
      <c r="D60" s="39"/>
      <c r="E60" s="39"/>
      <c r="F60" s="39"/>
      <c r="G60" s="39"/>
      <c r="H60" s="39"/>
      <c r="I60" s="39"/>
      <c r="J60" s="43"/>
      <c r="K60" s="39"/>
      <c r="L60" s="39"/>
    </row>
    <row r="61" customFormat="false" ht="15" hidden="false" customHeight="false" outlineLevel="0" collapsed="false">
      <c r="A61" s="39"/>
      <c r="B61" s="39"/>
      <c r="C61" s="39"/>
      <c r="D61" s="39"/>
      <c r="E61" s="39"/>
      <c r="F61" s="39"/>
      <c r="G61" s="39"/>
      <c r="H61" s="39"/>
      <c r="I61" s="39"/>
      <c r="J61" s="43"/>
      <c r="K61" s="39"/>
      <c r="L61" s="39"/>
    </row>
    <row r="62" customFormat="false" ht="15" hidden="false" customHeight="false" outlineLevel="0" collapsed="false">
      <c r="A62" s="39"/>
      <c r="B62" s="39"/>
      <c r="C62" s="39"/>
      <c r="D62" s="39"/>
      <c r="E62" s="39"/>
      <c r="F62" s="39"/>
      <c r="G62" s="39"/>
      <c r="H62" s="39"/>
      <c r="I62" s="39"/>
      <c r="J62" s="43"/>
      <c r="K62" s="39"/>
      <c r="L62" s="39"/>
    </row>
    <row r="63" customFormat="false" ht="15" hidden="false" customHeight="false" outlineLevel="0" collapsed="false">
      <c r="A63" s="39"/>
      <c r="B63" s="39"/>
      <c r="C63" s="39"/>
      <c r="D63" s="39"/>
      <c r="E63" s="39"/>
      <c r="F63" s="39"/>
      <c r="G63" s="39"/>
      <c r="H63" s="39"/>
      <c r="I63" s="39"/>
      <c r="J63" s="43"/>
      <c r="K63" s="39"/>
      <c r="L63" s="39"/>
    </row>
    <row r="64" customFormat="false" ht="15" hidden="false" customHeight="false" outlineLevel="0" collapsed="false">
      <c r="A64" s="39"/>
      <c r="B64" s="39"/>
      <c r="C64" s="39"/>
      <c r="D64" s="39"/>
      <c r="E64" s="39"/>
      <c r="F64" s="39"/>
      <c r="G64" s="39"/>
      <c r="H64" s="39"/>
      <c r="I64" s="39"/>
      <c r="J64" s="43"/>
      <c r="K64" s="39"/>
      <c r="L64" s="39"/>
    </row>
    <row r="65" customFormat="false" ht="15" hidden="false" customHeight="false" outlineLevel="0" collapsed="false">
      <c r="A65" s="39"/>
      <c r="B65" s="39"/>
      <c r="C65" s="39"/>
      <c r="D65" s="39"/>
      <c r="E65" s="39"/>
      <c r="F65" s="39"/>
      <c r="G65" s="39"/>
      <c r="H65" s="39"/>
      <c r="I65" s="39"/>
      <c r="J65" s="43"/>
      <c r="K65" s="39"/>
      <c r="L65" s="39"/>
    </row>
    <row r="66" customFormat="false" ht="15" hidden="false" customHeight="false" outlineLevel="0" collapsed="false">
      <c r="A66" s="39"/>
      <c r="B66" s="39"/>
      <c r="C66" s="39"/>
      <c r="D66" s="39"/>
      <c r="E66" s="39"/>
      <c r="F66" s="39"/>
      <c r="G66" s="39"/>
      <c r="H66" s="39"/>
      <c r="I66" s="39"/>
      <c r="J66" s="43"/>
      <c r="K66" s="39"/>
      <c r="L66" s="39"/>
    </row>
    <row r="67" customFormat="false" ht="15" hidden="false" customHeight="false" outlineLevel="0" collapsed="false">
      <c r="A67" s="39"/>
      <c r="B67" s="39"/>
      <c r="C67" s="39"/>
      <c r="D67" s="39"/>
      <c r="E67" s="39"/>
      <c r="F67" s="39"/>
      <c r="G67" s="39"/>
      <c r="H67" s="39"/>
      <c r="I67" s="39"/>
      <c r="J67" s="43"/>
      <c r="K67" s="39"/>
      <c r="L67" s="39"/>
    </row>
    <row r="68" customFormat="false" ht="15" hidden="false" customHeight="false" outlineLevel="0" collapsed="false">
      <c r="A68" s="39"/>
      <c r="B68" s="39"/>
      <c r="C68" s="39"/>
      <c r="D68" s="39"/>
      <c r="E68" s="39"/>
      <c r="F68" s="39"/>
      <c r="G68" s="39"/>
      <c r="H68" s="39"/>
      <c r="I68" s="39"/>
      <c r="J68" s="43"/>
      <c r="K68" s="39"/>
      <c r="L68" s="39"/>
    </row>
    <row r="69" customFormat="false" ht="15" hidden="false" customHeight="false" outlineLevel="0" collapsed="false">
      <c r="A69" s="39"/>
      <c r="B69" s="39"/>
      <c r="C69" s="39"/>
      <c r="D69" s="39"/>
      <c r="E69" s="39"/>
      <c r="F69" s="39"/>
      <c r="G69" s="39"/>
      <c r="H69" s="39"/>
      <c r="I69" s="39"/>
      <c r="J69" s="43"/>
      <c r="K69" s="39"/>
      <c r="L69" s="39"/>
    </row>
    <row r="70" customFormat="false" ht="15" hidden="false" customHeight="false" outlineLevel="0" collapsed="false">
      <c r="A70" s="39"/>
      <c r="B70" s="39"/>
      <c r="C70" s="39"/>
      <c r="D70" s="39"/>
      <c r="E70" s="39"/>
      <c r="F70" s="39"/>
      <c r="G70" s="39"/>
      <c r="H70" s="39"/>
      <c r="I70" s="39"/>
      <c r="J70" s="43"/>
      <c r="K70" s="39"/>
      <c r="L70" s="39"/>
    </row>
    <row r="71" customFormat="false" ht="15" hidden="false" customHeight="false" outlineLevel="0" collapsed="false">
      <c r="A71" s="39"/>
      <c r="B71" s="39"/>
      <c r="C71" s="39"/>
      <c r="D71" s="39"/>
      <c r="E71" s="39"/>
      <c r="F71" s="39"/>
      <c r="G71" s="39"/>
      <c r="H71" s="39"/>
      <c r="I71" s="39"/>
      <c r="J71" s="43"/>
      <c r="K71" s="39"/>
      <c r="L71" s="39"/>
    </row>
    <row r="72" customFormat="false" ht="15" hidden="false" customHeight="false" outlineLevel="0" collapsed="false">
      <c r="A72" s="39"/>
      <c r="B72" s="39"/>
      <c r="C72" s="39"/>
      <c r="D72" s="39"/>
      <c r="E72" s="39"/>
      <c r="F72" s="39"/>
      <c r="G72" s="39"/>
      <c r="H72" s="39"/>
      <c r="I72" s="39"/>
      <c r="J72" s="43"/>
      <c r="K72" s="39"/>
      <c r="L72" s="39"/>
    </row>
    <row r="73" customFormat="false" ht="15" hidden="false" customHeight="false" outlineLevel="0" collapsed="false">
      <c r="A73" s="39"/>
      <c r="B73" s="39"/>
      <c r="C73" s="39"/>
      <c r="D73" s="39"/>
      <c r="E73" s="39"/>
      <c r="F73" s="39"/>
      <c r="G73" s="39"/>
      <c r="H73" s="39"/>
      <c r="I73" s="39"/>
      <c r="J73" s="43"/>
      <c r="K73" s="39"/>
      <c r="L73" s="39"/>
    </row>
    <row r="74" customFormat="false" ht="15" hidden="false" customHeight="false" outlineLevel="0" collapsed="false">
      <c r="A74" s="39"/>
      <c r="B74" s="39"/>
      <c r="C74" s="39"/>
      <c r="D74" s="39"/>
      <c r="E74" s="39"/>
      <c r="F74" s="39"/>
      <c r="G74" s="39"/>
      <c r="H74" s="39"/>
      <c r="I74" s="39"/>
      <c r="J74" s="43"/>
      <c r="K74" s="39"/>
      <c r="L74" s="39"/>
    </row>
    <row r="75" customFormat="false" ht="15" hidden="false" customHeight="false" outlineLevel="0" collapsed="false">
      <c r="A75" s="39"/>
      <c r="B75" s="39"/>
      <c r="C75" s="39"/>
      <c r="D75" s="39"/>
      <c r="E75" s="39"/>
      <c r="F75" s="39"/>
      <c r="G75" s="39"/>
      <c r="H75" s="39"/>
      <c r="I75" s="39"/>
      <c r="J75" s="43"/>
      <c r="K75" s="39"/>
      <c r="L75" s="39"/>
    </row>
    <row r="76" customFormat="false" ht="15" hidden="false" customHeight="false" outlineLevel="0" collapsed="false">
      <c r="A76" s="39"/>
      <c r="B76" s="39"/>
      <c r="C76" s="39"/>
      <c r="D76" s="39"/>
      <c r="E76" s="39"/>
      <c r="F76" s="39"/>
      <c r="G76" s="39"/>
      <c r="H76" s="39"/>
      <c r="I76" s="39"/>
      <c r="J76" s="43"/>
      <c r="K76" s="39"/>
      <c r="L76" s="39"/>
    </row>
    <row r="77" customFormat="false" ht="15" hidden="false" customHeight="false" outlineLevel="0" collapsed="false">
      <c r="A77" s="39"/>
      <c r="B77" s="39"/>
      <c r="C77" s="39"/>
      <c r="D77" s="39"/>
      <c r="E77" s="39"/>
      <c r="F77" s="39"/>
      <c r="G77" s="39"/>
      <c r="H77" s="39"/>
      <c r="I77" s="39"/>
      <c r="J77" s="43"/>
      <c r="K77" s="39"/>
      <c r="L77" s="39"/>
    </row>
    <row r="78" customFormat="false" ht="15" hidden="false" customHeight="false" outlineLevel="0" collapsed="false">
      <c r="A78" s="39"/>
      <c r="B78" s="39"/>
      <c r="C78" s="39"/>
      <c r="D78" s="39"/>
      <c r="E78" s="39"/>
      <c r="F78" s="39"/>
      <c r="G78" s="39"/>
      <c r="H78" s="39"/>
      <c r="I78" s="39"/>
      <c r="J78" s="43"/>
      <c r="K78" s="39"/>
      <c r="L78" s="39"/>
    </row>
    <row r="79" customFormat="false" ht="15" hidden="false" customHeight="false" outlineLevel="0" collapsed="false">
      <c r="A79" s="39"/>
      <c r="B79" s="39"/>
      <c r="C79" s="39"/>
      <c r="D79" s="39"/>
      <c r="E79" s="39"/>
      <c r="F79" s="39"/>
      <c r="G79" s="39"/>
      <c r="H79" s="39"/>
      <c r="I79" s="39"/>
      <c r="J79" s="43"/>
      <c r="K79" s="39"/>
      <c r="L79" s="39"/>
    </row>
    <row r="80" customFormat="false" ht="15" hidden="false" customHeight="false" outlineLevel="0" collapsed="false">
      <c r="A80" s="39"/>
      <c r="B80" s="39"/>
      <c r="C80" s="39"/>
      <c r="D80" s="39"/>
      <c r="E80" s="39"/>
      <c r="F80" s="39"/>
      <c r="G80" s="39"/>
      <c r="H80" s="39"/>
      <c r="I80" s="39"/>
      <c r="J80" s="43"/>
      <c r="K80" s="39"/>
      <c r="L80" s="39"/>
    </row>
    <row r="81" customFormat="false" ht="15" hidden="false" customHeight="false" outlineLevel="0" collapsed="false">
      <c r="A81" s="39"/>
      <c r="B81" s="39"/>
      <c r="C81" s="39"/>
      <c r="D81" s="39"/>
      <c r="E81" s="39"/>
      <c r="F81" s="39"/>
      <c r="G81" s="39"/>
      <c r="H81" s="39"/>
      <c r="I81" s="39"/>
      <c r="J81" s="43"/>
      <c r="K81" s="39"/>
      <c r="L81" s="39"/>
    </row>
    <row r="82" customFormat="false" ht="15" hidden="false" customHeight="false" outlineLevel="0" collapsed="false">
      <c r="A82" s="39"/>
      <c r="B82" s="39"/>
      <c r="C82" s="39"/>
      <c r="D82" s="39"/>
      <c r="E82" s="39"/>
      <c r="F82" s="39"/>
      <c r="G82" s="39"/>
      <c r="H82" s="39"/>
      <c r="I82" s="39"/>
      <c r="J82" s="43"/>
      <c r="K82" s="39"/>
      <c r="L82" s="39"/>
    </row>
    <row r="83" customFormat="false" ht="15" hidden="false" customHeight="false" outlineLevel="0" collapsed="false">
      <c r="A83" s="39"/>
      <c r="B83" s="39"/>
      <c r="C83" s="39"/>
      <c r="D83" s="39"/>
      <c r="E83" s="39"/>
      <c r="F83" s="39"/>
      <c r="G83" s="39"/>
      <c r="H83" s="39"/>
      <c r="I83" s="39"/>
      <c r="J83" s="43"/>
      <c r="K83" s="39"/>
      <c r="L83" s="39"/>
    </row>
    <row r="84" customFormat="false" ht="15" hidden="false" customHeight="false" outlineLevel="0" collapsed="false">
      <c r="A84" s="39"/>
      <c r="B84" s="39"/>
      <c r="C84" s="39"/>
      <c r="D84" s="39"/>
      <c r="E84" s="39"/>
      <c r="F84" s="39"/>
      <c r="G84" s="39"/>
      <c r="H84" s="39"/>
      <c r="I84" s="39"/>
      <c r="J84" s="43"/>
      <c r="K84" s="39"/>
      <c r="L84" s="39"/>
    </row>
    <row r="85" customFormat="false" ht="15" hidden="false" customHeight="false" outlineLevel="0" collapsed="false">
      <c r="A85" s="39"/>
      <c r="B85" s="39"/>
      <c r="C85" s="39"/>
      <c r="D85" s="39"/>
      <c r="E85" s="39"/>
      <c r="F85" s="39"/>
      <c r="G85" s="39"/>
      <c r="H85" s="39"/>
      <c r="I85" s="39"/>
      <c r="J85" s="43"/>
      <c r="K85" s="39"/>
      <c r="L85" s="39"/>
    </row>
    <row r="86" customFormat="false" ht="15" hidden="false" customHeight="false" outlineLevel="0" collapsed="false">
      <c r="A86" s="39"/>
      <c r="B86" s="39"/>
      <c r="C86" s="39"/>
      <c r="D86" s="39"/>
      <c r="E86" s="39"/>
      <c r="F86" s="39"/>
      <c r="G86" s="39"/>
      <c r="H86" s="39"/>
      <c r="I86" s="39"/>
      <c r="J86" s="43"/>
      <c r="K86" s="39"/>
      <c r="L86" s="39"/>
    </row>
    <row r="87" customFormat="false" ht="15" hidden="false" customHeight="false" outlineLevel="0" collapsed="false">
      <c r="A87" s="39"/>
      <c r="B87" s="39"/>
      <c r="C87" s="39"/>
      <c r="D87" s="39"/>
      <c r="E87" s="39"/>
      <c r="F87" s="39"/>
      <c r="G87" s="39"/>
      <c r="H87" s="39"/>
      <c r="I87" s="39"/>
      <c r="J87" s="43"/>
      <c r="K87" s="39"/>
      <c r="L87" s="39"/>
    </row>
    <row r="88" customFormat="false" ht="15" hidden="false" customHeight="false" outlineLevel="0" collapsed="false">
      <c r="A88" s="39"/>
      <c r="B88" s="39"/>
      <c r="C88" s="39"/>
      <c r="D88" s="39"/>
      <c r="E88" s="39"/>
      <c r="F88" s="39"/>
      <c r="G88" s="39"/>
      <c r="H88" s="39"/>
      <c r="I88" s="39"/>
      <c r="J88" s="43"/>
      <c r="K88" s="39"/>
      <c r="L88" s="39"/>
    </row>
    <row r="89" customFormat="false" ht="15" hidden="false" customHeight="false" outlineLevel="0" collapsed="false">
      <c r="A89" s="39"/>
      <c r="B89" s="39"/>
      <c r="C89" s="39"/>
      <c r="D89" s="39"/>
      <c r="E89" s="39"/>
      <c r="F89" s="39"/>
      <c r="G89" s="39"/>
      <c r="H89" s="39"/>
      <c r="I89" s="39"/>
      <c r="J89" s="43"/>
      <c r="K89" s="39"/>
      <c r="L89" s="39"/>
    </row>
    <row r="90" customFormat="false" ht="15" hidden="false" customHeight="false" outlineLevel="0" collapsed="false">
      <c r="A90" s="39"/>
      <c r="B90" s="39"/>
      <c r="C90" s="39"/>
      <c r="D90" s="39"/>
      <c r="E90" s="39"/>
      <c r="F90" s="39"/>
      <c r="G90" s="39"/>
      <c r="H90" s="39"/>
      <c r="I90" s="39"/>
      <c r="J90" s="43"/>
      <c r="K90" s="39"/>
      <c r="L90" s="39"/>
    </row>
    <row r="91" customFormat="false" ht="15" hidden="false" customHeight="false" outlineLevel="0" collapsed="false">
      <c r="A91" s="39"/>
      <c r="B91" s="39"/>
      <c r="C91" s="39"/>
      <c r="D91" s="39"/>
      <c r="E91" s="39"/>
      <c r="F91" s="39"/>
      <c r="G91" s="39"/>
      <c r="H91" s="39"/>
      <c r="I91" s="39"/>
      <c r="J91" s="43"/>
      <c r="K91" s="39"/>
      <c r="L91" s="39"/>
    </row>
    <row r="92" customFormat="false" ht="15" hidden="false" customHeight="false" outlineLevel="0" collapsed="false">
      <c r="A92" s="39"/>
      <c r="B92" s="39"/>
      <c r="C92" s="39"/>
      <c r="D92" s="39"/>
      <c r="E92" s="39"/>
      <c r="F92" s="39"/>
      <c r="G92" s="39"/>
      <c r="H92" s="39"/>
      <c r="I92" s="39"/>
      <c r="J92" s="43"/>
      <c r="K92" s="39"/>
      <c r="L92" s="39"/>
    </row>
    <row r="93" customFormat="false" ht="15" hidden="false" customHeight="false" outlineLevel="0" collapsed="false">
      <c r="A93" s="39"/>
      <c r="B93" s="39"/>
      <c r="C93" s="39"/>
      <c r="D93" s="39"/>
      <c r="E93" s="39"/>
      <c r="F93" s="39"/>
      <c r="G93" s="39"/>
      <c r="H93" s="39"/>
      <c r="I93" s="39"/>
      <c r="J93" s="43"/>
      <c r="K93" s="39"/>
      <c r="L93" s="39"/>
    </row>
    <row r="94" customFormat="false" ht="15" hidden="false" customHeight="false" outlineLevel="0" collapsed="false">
      <c r="A94" s="39"/>
      <c r="B94" s="39"/>
      <c r="C94" s="39"/>
      <c r="D94" s="39"/>
      <c r="E94" s="39"/>
      <c r="F94" s="39"/>
      <c r="G94" s="39"/>
      <c r="H94" s="39"/>
      <c r="I94" s="39"/>
      <c r="J94" s="43"/>
      <c r="K94" s="39"/>
      <c r="L94" s="39"/>
    </row>
    <row r="95" customFormat="false" ht="15" hidden="false" customHeight="false" outlineLevel="0" collapsed="false">
      <c r="A95" s="39"/>
      <c r="B95" s="39"/>
      <c r="C95" s="39"/>
      <c r="D95" s="39"/>
      <c r="E95" s="39"/>
      <c r="F95" s="39"/>
      <c r="G95" s="39"/>
      <c r="H95" s="39"/>
      <c r="I95" s="39"/>
      <c r="J95" s="43"/>
      <c r="K95" s="39"/>
      <c r="L95" s="39"/>
    </row>
    <row r="96" customFormat="false" ht="15" hidden="false" customHeight="false" outlineLevel="0" collapsed="false">
      <c r="A96" s="39"/>
      <c r="B96" s="39"/>
      <c r="C96" s="39"/>
      <c r="D96" s="39"/>
      <c r="E96" s="39"/>
      <c r="F96" s="39"/>
      <c r="G96" s="39"/>
      <c r="H96" s="39"/>
      <c r="I96" s="39"/>
      <c r="J96" s="43"/>
      <c r="K96" s="39"/>
      <c r="L96" s="39"/>
    </row>
    <row r="97" customFormat="false" ht="15" hidden="false" customHeight="false" outlineLevel="0" collapsed="false">
      <c r="A97" s="39"/>
      <c r="B97" s="39"/>
      <c r="C97" s="39"/>
      <c r="D97" s="39"/>
      <c r="E97" s="39"/>
      <c r="F97" s="39"/>
      <c r="G97" s="39"/>
      <c r="H97" s="39"/>
      <c r="I97" s="39"/>
      <c r="J97" s="43"/>
      <c r="K97" s="39"/>
      <c r="L97" s="39"/>
    </row>
    <row r="98" customFormat="false" ht="15" hidden="false" customHeight="false" outlineLevel="0" collapsed="false">
      <c r="A98" s="39"/>
      <c r="B98" s="39"/>
      <c r="C98" s="39"/>
      <c r="D98" s="39"/>
      <c r="E98" s="39"/>
      <c r="F98" s="39"/>
      <c r="G98" s="39"/>
      <c r="H98" s="39"/>
      <c r="I98" s="39"/>
      <c r="J98" s="43"/>
      <c r="K98" s="39"/>
      <c r="L98" s="39"/>
    </row>
    <row r="99" customFormat="false" ht="15" hidden="false" customHeight="false" outlineLevel="0" collapsed="false">
      <c r="A99" s="39"/>
      <c r="B99" s="39"/>
      <c r="C99" s="39"/>
      <c r="D99" s="39"/>
      <c r="E99" s="39"/>
      <c r="F99" s="39"/>
      <c r="G99" s="39"/>
      <c r="H99" s="39"/>
      <c r="I99" s="39"/>
      <c r="J99" s="43"/>
      <c r="K99" s="39"/>
      <c r="L99" s="39"/>
    </row>
    <row r="100" customFormat="false" ht="15" hidden="false" customHeight="false" outlineLevel="0" collapsed="false">
      <c r="A100" s="39"/>
      <c r="B100" s="39"/>
      <c r="C100" s="39"/>
      <c r="D100" s="39"/>
      <c r="E100" s="39"/>
      <c r="F100" s="39"/>
      <c r="G100" s="39"/>
      <c r="H100" s="39"/>
      <c r="I100" s="39"/>
      <c r="J100" s="43"/>
      <c r="K100" s="39"/>
      <c r="L100" s="39"/>
    </row>
    <row r="101" customFormat="false" ht="15" hidden="false" customHeight="false" outlineLevel="0" collapsed="false">
      <c r="A101" s="39"/>
      <c r="B101" s="39"/>
      <c r="C101" s="39"/>
      <c r="D101" s="39"/>
      <c r="E101" s="39"/>
      <c r="F101" s="39"/>
      <c r="G101" s="39"/>
      <c r="H101" s="39"/>
      <c r="I101" s="39"/>
      <c r="J101" s="43"/>
      <c r="K101" s="39"/>
      <c r="L101" s="39"/>
    </row>
    <row r="102" customFormat="false" ht="15" hidden="false" customHeight="false" outlineLevel="0" collapsed="false">
      <c r="A102" s="39"/>
      <c r="B102" s="39"/>
      <c r="C102" s="39"/>
      <c r="D102" s="39"/>
      <c r="E102" s="39"/>
      <c r="F102" s="39"/>
      <c r="G102" s="39"/>
      <c r="H102" s="39"/>
      <c r="I102" s="39"/>
      <c r="J102" s="43"/>
      <c r="K102" s="39"/>
      <c r="L102" s="39"/>
    </row>
    <row r="103" customFormat="false" ht="15" hidden="false" customHeight="false" outlineLevel="0" collapsed="false">
      <c r="A103" s="39"/>
      <c r="B103" s="39"/>
      <c r="C103" s="39"/>
      <c r="D103" s="39"/>
      <c r="E103" s="39"/>
      <c r="F103" s="39"/>
      <c r="G103" s="39"/>
      <c r="H103" s="39"/>
      <c r="I103" s="39"/>
      <c r="J103" s="43"/>
      <c r="K103" s="39"/>
      <c r="L103" s="39"/>
    </row>
    <row r="104" customFormat="false" ht="15" hidden="false" customHeight="false" outlineLevel="0" collapsed="false">
      <c r="A104" s="39"/>
      <c r="B104" s="39"/>
      <c r="C104" s="39"/>
      <c r="D104" s="39"/>
      <c r="E104" s="39"/>
      <c r="F104" s="39"/>
      <c r="G104" s="39"/>
      <c r="H104" s="39"/>
      <c r="I104" s="39"/>
      <c r="J104" s="43"/>
      <c r="K104" s="39"/>
      <c r="L104" s="39"/>
    </row>
    <row r="105" customFormat="false" ht="15" hidden="false" customHeight="false" outlineLevel="0" collapsed="false">
      <c r="A105" s="39"/>
      <c r="B105" s="39"/>
      <c r="C105" s="39"/>
      <c r="D105" s="39"/>
      <c r="E105" s="39"/>
      <c r="F105" s="39"/>
      <c r="G105" s="39"/>
      <c r="H105" s="39"/>
      <c r="I105" s="39"/>
      <c r="J105" s="43"/>
      <c r="K105" s="39"/>
      <c r="L105" s="39"/>
    </row>
  </sheetData>
  <mergeCells count="2">
    <mergeCell ref="A1:L1"/>
    <mergeCell ref="A2:L2"/>
  </mergeCells>
  <conditionalFormatting sqref="J5:J105">
    <cfRule type="expression" priority="2" aboveAverage="0" equalAverage="0" bottom="0" percent="0" rank="0" text="" dxfId="0">
      <formula>AND(ISNUMBER(J5),J5&lt;TODAY())</formula>
    </cfRule>
    <cfRule type="expression" priority="3" aboveAverage="0" equalAverage="0" bottom="0" percent="0" rank="0" text="" dxfId="2">
      <formula>AND(ISNUMBER(J5),J5-TODAY()&lt;=ExpiryWarnDays)</formula>
    </cfRule>
  </conditionalFormatting>
  <dataValidations count="2">
    <dataValidation allowBlank="true" error="Enter a date, e.g. 2026-10-22." errorStyle="stop" errorTitle="Date required" operator="greaterThan" showDropDown="false" showErrorMessage="true" showInputMessage="false" sqref="J5:J105" type="date">
      <formula1>1</formula1>
      <formula2>0</formula2>
    </dataValidation>
    <dataValidation allowBlank="true" errorStyle="stop" operator="between" showDropDown="false" showErrorMessage="false" showInputMessage="false" sqref="B5:B105" type="list">
      <formula1>NetCategory</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&amp;A&amp;R&amp;8 Powered by MSP Culture  |  v1.0  |  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2BD6"/>
    <pageSetUpPr fitToPage="true"/>
  </sheetPr>
  <dimension ref="A1:V1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4" min="3" style="0" width="10"/>
    <col collapsed="false" customWidth="true" hidden="false" outlineLevel="0" max="7" min="5" style="0" width="16"/>
    <col collapsed="false" customWidth="true" hidden="false" outlineLevel="0" max="8" min="8" style="0" width="12"/>
    <col collapsed="false" customWidth="true" hidden="false" outlineLevel="0" max="9" min="9" style="0" width="9"/>
    <col collapsed="false" customWidth="true" hidden="false" outlineLevel="0" max="10" min="10" style="0" width="10"/>
    <col collapsed="false" customWidth="true" hidden="false" outlineLevel="0" max="12" min="11" style="0" width="16"/>
    <col collapsed="false" customWidth="true" hidden="false" outlineLevel="0" max="13" min="13" style="0" width="12"/>
    <col collapsed="false" customWidth="true" hidden="false" outlineLevel="0" max="15" min="14" style="0" width="10"/>
    <col collapsed="false" customWidth="true" hidden="false" outlineLevel="0" max="16" min="16" style="0" width="12"/>
    <col collapsed="false" customWidth="true" hidden="false" outlineLevel="0" max="17" min="17" style="0" width="18"/>
    <col collapsed="false" customWidth="true" hidden="false" outlineLevel="0" max="19" min="18" style="0" width="12"/>
    <col collapsed="false" customWidth="true" hidden="false" outlineLevel="0" max="20" min="20" style="0" width="11"/>
    <col collapsed="false" customWidth="true" hidden="false" outlineLevel="0" max="21" min="21" style="0" width="9"/>
    <col collapsed="false" customWidth="true" hidden="false" outlineLevel="0" max="22" min="22" style="0" width="22"/>
  </cols>
  <sheetData>
    <row r="1" customFormat="false" ht="33.75" hidden="false" customHeight="true" outlineLevel="0" collapsed="false">
      <c r="A1" s="26" t="str">
        <f aca="false">IF(PreparedFor="","Backup &amp; Recovery Capability","Backup &amp; Recovery Capability  |  "&amp;PreparedFor)</f>
        <v>Backup &amp; Recovery Capability</v>
      </c>
      <c r="B1" s="26"/>
      <c r="C1" s="26"/>
      <c r="D1" s="26"/>
      <c r="E1" s="26"/>
      <c r="F1" s="26"/>
      <c r="G1" s="26"/>
      <c r="H1" s="26"/>
      <c r="I1" s="26"/>
      <c r="J1" s="26"/>
      <c r="K1" s="26"/>
      <c r="L1" s="26"/>
      <c r="M1" s="26"/>
      <c r="N1" s="26"/>
      <c r="O1" s="26"/>
      <c r="P1" s="26"/>
      <c r="Q1" s="26"/>
      <c r="R1" s="26"/>
      <c r="S1" s="26"/>
      <c r="T1" s="26"/>
      <c r="U1" s="26"/>
      <c r="V1" s="26"/>
    </row>
    <row r="2" customFormat="false" ht="48" hidden="false" customHeight="true" outlineLevel="0" collapsed="false">
      <c r="A2" s="27" t="s">
        <v>313</v>
      </c>
      <c r="B2" s="27"/>
      <c r="C2" s="27"/>
      <c r="D2" s="27"/>
      <c r="E2" s="27"/>
      <c r="F2" s="27"/>
      <c r="G2" s="27"/>
      <c r="H2" s="27"/>
      <c r="I2" s="27"/>
      <c r="J2" s="27"/>
      <c r="K2" s="27"/>
      <c r="L2" s="27"/>
      <c r="M2" s="27"/>
      <c r="N2" s="27"/>
      <c r="O2" s="27"/>
      <c r="P2" s="27"/>
      <c r="Q2" s="27"/>
      <c r="R2" s="27"/>
      <c r="S2" s="27"/>
      <c r="T2" s="27"/>
      <c r="U2" s="27"/>
      <c r="V2" s="27"/>
    </row>
    <row r="3" customFormat="false" ht="42" hidden="false" customHeight="true" outlineLevel="0" collapsed="false">
      <c r="A3" s="33" t="s">
        <v>314</v>
      </c>
      <c r="B3" s="33" t="s">
        <v>315</v>
      </c>
      <c r="C3" s="34" t="s">
        <v>316</v>
      </c>
      <c r="D3" s="34" t="s">
        <v>317</v>
      </c>
      <c r="E3" s="33" t="s">
        <v>318</v>
      </c>
      <c r="F3" s="33" t="s">
        <v>319</v>
      </c>
      <c r="G3" s="33" t="s">
        <v>320</v>
      </c>
      <c r="H3" s="33" t="s">
        <v>321</v>
      </c>
      <c r="I3" s="34" t="s">
        <v>322</v>
      </c>
      <c r="J3" s="33" t="s">
        <v>323</v>
      </c>
      <c r="K3" s="33" t="s">
        <v>324</v>
      </c>
      <c r="L3" s="33" t="s">
        <v>325</v>
      </c>
      <c r="M3" s="33" t="s">
        <v>326</v>
      </c>
      <c r="N3" s="33" t="s">
        <v>327</v>
      </c>
      <c r="O3" s="33" t="s">
        <v>328</v>
      </c>
      <c r="P3" s="33" t="s">
        <v>329</v>
      </c>
      <c r="Q3" s="33" t="s">
        <v>330</v>
      </c>
      <c r="R3" s="33" t="s">
        <v>331</v>
      </c>
      <c r="S3" s="34" t="s">
        <v>332</v>
      </c>
      <c r="T3" s="33" t="s">
        <v>333</v>
      </c>
      <c r="U3" s="34" t="s">
        <v>334</v>
      </c>
      <c r="V3" s="33" t="s">
        <v>177</v>
      </c>
    </row>
    <row r="4" customFormat="false" ht="66" hidden="false" customHeight="true" outlineLevel="0" collapsed="false">
      <c r="A4" s="35"/>
      <c r="B4" s="35" t="s">
        <v>335</v>
      </c>
      <c r="C4" s="35"/>
      <c r="D4" s="35"/>
      <c r="E4" s="35"/>
      <c r="F4" s="35"/>
      <c r="G4" s="35"/>
      <c r="H4" s="35"/>
      <c r="I4" s="35"/>
      <c r="J4" s="35"/>
      <c r="K4" s="35"/>
      <c r="L4" s="35"/>
      <c r="M4" s="35" t="s">
        <v>336</v>
      </c>
      <c r="N4" s="35"/>
      <c r="O4" s="35"/>
      <c r="P4" s="35" t="s">
        <v>337</v>
      </c>
      <c r="Q4" s="35"/>
      <c r="R4" s="35" t="s">
        <v>338</v>
      </c>
      <c r="S4" s="35"/>
      <c r="T4" s="35" t="s">
        <v>339</v>
      </c>
      <c r="U4" s="35"/>
      <c r="V4" s="35"/>
    </row>
    <row r="5" customFormat="false" ht="22.35" hidden="false" customHeight="false" outlineLevel="0" collapsed="false">
      <c r="A5" s="36" t="s">
        <v>277</v>
      </c>
      <c r="B5" s="36"/>
      <c r="C5" s="38" t="str">
        <f aca="false">IF(B5="","",IFERROR(IF(INDEX('3 Critical Apps'!$J$6:$J$105,MATCH(B5,'3 Critical Apps'!$A$6:$A$105,0))="","",INDEX('3 Critical Apps'!$J$6:$J$105,MATCH(B5,'3 Critical Apps'!$A$6:$A$105,0))),""))</f>
        <v/>
      </c>
      <c r="D5" s="38" t="str">
        <f aca="false">IF(B5="","",IFERROR(IF(INDEX('3 Critical Apps'!$I$6:$I$105,MATCH(B5,'3 Critical Apps'!$A$6:$A$105,0))="","",INDEX('3 Critical Apps'!$I$6:$I$105,MATCH(B5,'3 Critical Apps'!$A$6:$A$105,0))),""))</f>
        <v/>
      </c>
      <c r="E5" s="36" t="s">
        <v>340</v>
      </c>
      <c r="F5" s="36" t="s">
        <v>258</v>
      </c>
      <c r="G5" s="36" t="s">
        <v>341</v>
      </c>
      <c r="H5" s="37" t="n">
        <v>24</v>
      </c>
      <c r="I5" s="38" t="str">
        <f aca="false">IF(OR(C5="",H5=""),"",IF(H5&gt;C5,"GAP","OK"))</f>
        <v/>
      </c>
      <c r="J5" s="37" t="n">
        <v>30</v>
      </c>
      <c r="K5" s="36" t="s">
        <v>342</v>
      </c>
      <c r="L5" s="36" t="s">
        <v>343</v>
      </c>
      <c r="M5" s="36" t="s">
        <v>192</v>
      </c>
      <c r="N5" s="36" t="s">
        <v>192</v>
      </c>
      <c r="O5" s="36" t="s">
        <v>192</v>
      </c>
      <c r="P5" s="36" t="s">
        <v>234</v>
      </c>
      <c r="Q5" s="36" t="s">
        <v>344</v>
      </c>
      <c r="R5" s="42"/>
      <c r="S5" s="38" t="str">
        <f aca="true">IF(A5="","",IF(R5="","NEVER TESTED",IF(TODAY()-R5&gt;RestoreTestMaxDays,"STALE","CURRENT")))</f>
        <v>NEVER TESTED</v>
      </c>
      <c r="T5" s="37" t="n">
        <v>6</v>
      </c>
      <c r="U5" s="38" t="str">
        <f aca="false">IF(OR(D5="",T5=""),"",IF(T5&gt;D5,"GAP","OK"))</f>
        <v/>
      </c>
      <c r="V5" s="36"/>
    </row>
    <row r="6" customFormat="false" ht="15" hidden="false" customHeight="false" outlineLevel="0" collapsed="false">
      <c r="A6" s="39"/>
      <c r="B6" s="39"/>
      <c r="C6" s="41" t="str">
        <f aca="false">IF(B6="","",IFERROR(IF(INDEX('3 Critical Apps'!$J$6:$J$105,MATCH(B6,'3 Critical Apps'!$A$6:$A$105,0))="","",INDEX('3 Critical Apps'!$J$6:$J$105,MATCH(B6,'3 Critical Apps'!$A$6:$A$105,0))),""))</f>
        <v/>
      </c>
      <c r="D6" s="41" t="str">
        <f aca="false">IF(B6="","",IFERROR(IF(INDEX('3 Critical Apps'!$I$6:$I$105,MATCH(B6,'3 Critical Apps'!$A$6:$A$105,0))="","",INDEX('3 Critical Apps'!$I$6:$I$105,MATCH(B6,'3 Critical Apps'!$A$6:$A$105,0))),""))</f>
        <v/>
      </c>
      <c r="E6" s="39"/>
      <c r="F6" s="39"/>
      <c r="G6" s="39"/>
      <c r="H6" s="40"/>
      <c r="I6" s="41" t="str">
        <f aca="false">IF(OR(C6="",H6=""),"",IF(H6&gt;C6,"GAP","OK"))</f>
        <v/>
      </c>
      <c r="J6" s="40"/>
      <c r="K6" s="39"/>
      <c r="L6" s="39"/>
      <c r="M6" s="39"/>
      <c r="N6" s="39"/>
      <c r="O6" s="39"/>
      <c r="P6" s="39"/>
      <c r="Q6" s="39"/>
      <c r="R6" s="43"/>
      <c r="S6" s="41" t="str">
        <f aca="true">IF(A6="","",IF(R6="","NEVER TESTED",IF(TODAY()-R6&gt;RestoreTestMaxDays,"STALE","CURRENT")))</f>
        <v/>
      </c>
      <c r="T6" s="40"/>
      <c r="U6" s="41" t="str">
        <f aca="false">IF(OR(D6="",T6=""),"",IF(T6&gt;D6,"GAP","OK"))</f>
        <v/>
      </c>
      <c r="V6" s="39"/>
    </row>
    <row r="7" customFormat="false" ht="15" hidden="false" customHeight="false" outlineLevel="0" collapsed="false">
      <c r="A7" s="39"/>
      <c r="B7" s="39"/>
      <c r="C7" s="41" t="str">
        <f aca="false">IF(B7="","",IFERROR(IF(INDEX('3 Critical Apps'!$J$6:$J$105,MATCH(B7,'3 Critical Apps'!$A$6:$A$105,0))="","",INDEX('3 Critical Apps'!$J$6:$J$105,MATCH(B7,'3 Critical Apps'!$A$6:$A$105,0))),""))</f>
        <v/>
      </c>
      <c r="D7" s="41" t="str">
        <f aca="false">IF(B7="","",IFERROR(IF(INDEX('3 Critical Apps'!$I$6:$I$105,MATCH(B7,'3 Critical Apps'!$A$6:$A$105,0))="","",INDEX('3 Critical Apps'!$I$6:$I$105,MATCH(B7,'3 Critical Apps'!$A$6:$A$105,0))),""))</f>
        <v/>
      </c>
      <c r="E7" s="39"/>
      <c r="F7" s="39"/>
      <c r="G7" s="39"/>
      <c r="H7" s="40"/>
      <c r="I7" s="41" t="str">
        <f aca="false">IF(OR(C7="",H7=""),"",IF(H7&gt;C7,"GAP","OK"))</f>
        <v/>
      </c>
      <c r="J7" s="40"/>
      <c r="K7" s="39"/>
      <c r="L7" s="39"/>
      <c r="M7" s="39"/>
      <c r="N7" s="39"/>
      <c r="O7" s="39"/>
      <c r="P7" s="39"/>
      <c r="Q7" s="39"/>
      <c r="R7" s="43"/>
      <c r="S7" s="41" t="str">
        <f aca="true">IF(A7="","",IF(R7="","NEVER TESTED",IF(TODAY()-R7&gt;RestoreTestMaxDays,"STALE","CURRENT")))</f>
        <v/>
      </c>
      <c r="T7" s="40"/>
      <c r="U7" s="41" t="str">
        <f aca="false">IF(OR(D7="",T7=""),"",IF(T7&gt;D7,"GAP","OK"))</f>
        <v/>
      </c>
      <c r="V7" s="39"/>
    </row>
    <row r="8" customFormat="false" ht="15" hidden="false" customHeight="false" outlineLevel="0" collapsed="false">
      <c r="A8" s="39"/>
      <c r="B8" s="39"/>
      <c r="C8" s="41" t="str">
        <f aca="false">IF(B8="","",IFERROR(IF(INDEX('3 Critical Apps'!$J$6:$J$105,MATCH(B8,'3 Critical Apps'!$A$6:$A$105,0))="","",INDEX('3 Critical Apps'!$J$6:$J$105,MATCH(B8,'3 Critical Apps'!$A$6:$A$105,0))),""))</f>
        <v/>
      </c>
      <c r="D8" s="41" t="str">
        <f aca="false">IF(B8="","",IFERROR(IF(INDEX('3 Critical Apps'!$I$6:$I$105,MATCH(B8,'3 Critical Apps'!$A$6:$A$105,0))="","",INDEX('3 Critical Apps'!$I$6:$I$105,MATCH(B8,'3 Critical Apps'!$A$6:$A$105,0))),""))</f>
        <v/>
      </c>
      <c r="E8" s="39"/>
      <c r="F8" s="39"/>
      <c r="G8" s="39"/>
      <c r="H8" s="40"/>
      <c r="I8" s="41" t="str">
        <f aca="false">IF(OR(C8="",H8=""),"",IF(H8&gt;C8,"GAP","OK"))</f>
        <v/>
      </c>
      <c r="J8" s="40"/>
      <c r="K8" s="39"/>
      <c r="L8" s="39"/>
      <c r="M8" s="39"/>
      <c r="N8" s="39"/>
      <c r="O8" s="39"/>
      <c r="P8" s="39"/>
      <c r="Q8" s="39"/>
      <c r="R8" s="43"/>
      <c r="S8" s="41" t="str">
        <f aca="true">IF(A8="","",IF(R8="","NEVER TESTED",IF(TODAY()-R8&gt;RestoreTestMaxDays,"STALE","CURRENT")))</f>
        <v/>
      </c>
      <c r="T8" s="40"/>
      <c r="U8" s="41" t="str">
        <f aca="false">IF(OR(D8="",T8=""),"",IF(T8&gt;D8,"GAP","OK"))</f>
        <v/>
      </c>
      <c r="V8" s="39"/>
    </row>
    <row r="9" customFormat="false" ht="15" hidden="false" customHeight="false" outlineLevel="0" collapsed="false">
      <c r="A9" s="39"/>
      <c r="B9" s="39"/>
      <c r="C9" s="41" t="str">
        <f aca="false">IF(B9="","",IFERROR(IF(INDEX('3 Critical Apps'!$J$6:$J$105,MATCH(B9,'3 Critical Apps'!$A$6:$A$105,0))="","",INDEX('3 Critical Apps'!$J$6:$J$105,MATCH(B9,'3 Critical Apps'!$A$6:$A$105,0))),""))</f>
        <v/>
      </c>
      <c r="D9" s="41" t="str">
        <f aca="false">IF(B9="","",IFERROR(IF(INDEX('3 Critical Apps'!$I$6:$I$105,MATCH(B9,'3 Critical Apps'!$A$6:$A$105,0))="","",INDEX('3 Critical Apps'!$I$6:$I$105,MATCH(B9,'3 Critical Apps'!$A$6:$A$105,0))),""))</f>
        <v/>
      </c>
      <c r="E9" s="39"/>
      <c r="F9" s="39"/>
      <c r="G9" s="39"/>
      <c r="H9" s="40"/>
      <c r="I9" s="41" t="str">
        <f aca="false">IF(OR(C9="",H9=""),"",IF(H9&gt;C9,"GAP","OK"))</f>
        <v/>
      </c>
      <c r="J9" s="40"/>
      <c r="K9" s="39"/>
      <c r="L9" s="39"/>
      <c r="M9" s="39"/>
      <c r="N9" s="39"/>
      <c r="O9" s="39"/>
      <c r="P9" s="39"/>
      <c r="Q9" s="39"/>
      <c r="R9" s="43"/>
      <c r="S9" s="41" t="str">
        <f aca="true">IF(A9="","",IF(R9="","NEVER TESTED",IF(TODAY()-R9&gt;RestoreTestMaxDays,"STALE","CURRENT")))</f>
        <v/>
      </c>
      <c r="T9" s="40"/>
      <c r="U9" s="41" t="str">
        <f aca="false">IF(OR(D9="",T9=""),"",IF(T9&gt;D9,"GAP","OK"))</f>
        <v/>
      </c>
      <c r="V9" s="39"/>
    </row>
    <row r="10" customFormat="false" ht="15" hidden="false" customHeight="false" outlineLevel="0" collapsed="false">
      <c r="A10" s="39"/>
      <c r="B10" s="39"/>
      <c r="C10" s="41" t="str">
        <f aca="false">IF(B10="","",IFERROR(IF(INDEX('3 Critical Apps'!$J$6:$J$105,MATCH(B10,'3 Critical Apps'!$A$6:$A$105,0))="","",INDEX('3 Critical Apps'!$J$6:$J$105,MATCH(B10,'3 Critical Apps'!$A$6:$A$105,0))),""))</f>
        <v/>
      </c>
      <c r="D10" s="41" t="str">
        <f aca="false">IF(B10="","",IFERROR(IF(INDEX('3 Critical Apps'!$I$6:$I$105,MATCH(B10,'3 Critical Apps'!$A$6:$A$105,0))="","",INDEX('3 Critical Apps'!$I$6:$I$105,MATCH(B10,'3 Critical Apps'!$A$6:$A$105,0))),""))</f>
        <v/>
      </c>
      <c r="E10" s="39"/>
      <c r="F10" s="39"/>
      <c r="G10" s="39"/>
      <c r="H10" s="40"/>
      <c r="I10" s="41" t="str">
        <f aca="false">IF(OR(C10="",H10=""),"",IF(H10&gt;C10,"GAP","OK"))</f>
        <v/>
      </c>
      <c r="J10" s="40"/>
      <c r="K10" s="39"/>
      <c r="L10" s="39"/>
      <c r="M10" s="39"/>
      <c r="N10" s="39"/>
      <c r="O10" s="39"/>
      <c r="P10" s="39"/>
      <c r="Q10" s="39"/>
      <c r="R10" s="43"/>
      <c r="S10" s="41" t="str">
        <f aca="true">IF(A10="","",IF(R10="","NEVER TESTED",IF(TODAY()-R10&gt;RestoreTestMaxDays,"STALE","CURRENT")))</f>
        <v/>
      </c>
      <c r="T10" s="40"/>
      <c r="U10" s="41" t="str">
        <f aca="false">IF(OR(D10="",T10=""),"",IF(T10&gt;D10,"GAP","OK"))</f>
        <v/>
      </c>
      <c r="V10" s="39"/>
    </row>
    <row r="11" customFormat="false" ht="15" hidden="false" customHeight="false" outlineLevel="0" collapsed="false">
      <c r="A11" s="39"/>
      <c r="B11" s="39"/>
      <c r="C11" s="41" t="str">
        <f aca="false">IF(B11="","",IFERROR(IF(INDEX('3 Critical Apps'!$J$6:$J$105,MATCH(B11,'3 Critical Apps'!$A$6:$A$105,0))="","",INDEX('3 Critical Apps'!$J$6:$J$105,MATCH(B11,'3 Critical Apps'!$A$6:$A$105,0))),""))</f>
        <v/>
      </c>
      <c r="D11" s="41" t="str">
        <f aca="false">IF(B11="","",IFERROR(IF(INDEX('3 Critical Apps'!$I$6:$I$105,MATCH(B11,'3 Critical Apps'!$A$6:$A$105,0))="","",INDEX('3 Critical Apps'!$I$6:$I$105,MATCH(B11,'3 Critical Apps'!$A$6:$A$105,0))),""))</f>
        <v/>
      </c>
      <c r="E11" s="39"/>
      <c r="F11" s="39"/>
      <c r="G11" s="39"/>
      <c r="H11" s="40"/>
      <c r="I11" s="41" t="str">
        <f aca="false">IF(OR(C11="",H11=""),"",IF(H11&gt;C11,"GAP","OK"))</f>
        <v/>
      </c>
      <c r="J11" s="40"/>
      <c r="K11" s="39"/>
      <c r="L11" s="39"/>
      <c r="M11" s="39"/>
      <c r="N11" s="39"/>
      <c r="O11" s="39"/>
      <c r="P11" s="39"/>
      <c r="Q11" s="39"/>
      <c r="R11" s="43"/>
      <c r="S11" s="41" t="str">
        <f aca="true">IF(A11="","",IF(R11="","NEVER TESTED",IF(TODAY()-R11&gt;RestoreTestMaxDays,"STALE","CURRENT")))</f>
        <v/>
      </c>
      <c r="T11" s="40"/>
      <c r="U11" s="41" t="str">
        <f aca="false">IF(OR(D11="",T11=""),"",IF(T11&gt;D11,"GAP","OK"))</f>
        <v/>
      </c>
      <c r="V11" s="39"/>
    </row>
    <row r="12" customFormat="false" ht="15" hidden="false" customHeight="false" outlineLevel="0" collapsed="false">
      <c r="A12" s="39"/>
      <c r="B12" s="39"/>
      <c r="C12" s="41" t="str">
        <f aca="false">IF(B12="","",IFERROR(IF(INDEX('3 Critical Apps'!$J$6:$J$105,MATCH(B12,'3 Critical Apps'!$A$6:$A$105,0))="","",INDEX('3 Critical Apps'!$J$6:$J$105,MATCH(B12,'3 Critical Apps'!$A$6:$A$105,0))),""))</f>
        <v/>
      </c>
      <c r="D12" s="41" t="str">
        <f aca="false">IF(B12="","",IFERROR(IF(INDEX('3 Critical Apps'!$I$6:$I$105,MATCH(B12,'3 Critical Apps'!$A$6:$A$105,0))="","",INDEX('3 Critical Apps'!$I$6:$I$105,MATCH(B12,'3 Critical Apps'!$A$6:$A$105,0))),""))</f>
        <v/>
      </c>
      <c r="E12" s="39"/>
      <c r="F12" s="39"/>
      <c r="G12" s="39"/>
      <c r="H12" s="40"/>
      <c r="I12" s="41" t="str">
        <f aca="false">IF(OR(C12="",H12=""),"",IF(H12&gt;C12,"GAP","OK"))</f>
        <v/>
      </c>
      <c r="J12" s="40"/>
      <c r="K12" s="39"/>
      <c r="L12" s="39"/>
      <c r="M12" s="39"/>
      <c r="N12" s="39"/>
      <c r="O12" s="39"/>
      <c r="P12" s="39"/>
      <c r="Q12" s="39"/>
      <c r="R12" s="43"/>
      <c r="S12" s="41" t="str">
        <f aca="true">IF(A12="","",IF(R12="","NEVER TESTED",IF(TODAY()-R12&gt;RestoreTestMaxDays,"STALE","CURRENT")))</f>
        <v/>
      </c>
      <c r="T12" s="40"/>
      <c r="U12" s="41" t="str">
        <f aca="false">IF(OR(D12="",T12=""),"",IF(T12&gt;D12,"GAP","OK"))</f>
        <v/>
      </c>
      <c r="V12" s="39"/>
    </row>
    <row r="13" customFormat="false" ht="15" hidden="false" customHeight="false" outlineLevel="0" collapsed="false">
      <c r="A13" s="39"/>
      <c r="B13" s="39"/>
      <c r="C13" s="41" t="str">
        <f aca="false">IF(B13="","",IFERROR(IF(INDEX('3 Critical Apps'!$J$6:$J$105,MATCH(B13,'3 Critical Apps'!$A$6:$A$105,0))="","",INDEX('3 Critical Apps'!$J$6:$J$105,MATCH(B13,'3 Critical Apps'!$A$6:$A$105,0))),""))</f>
        <v/>
      </c>
      <c r="D13" s="41" t="str">
        <f aca="false">IF(B13="","",IFERROR(IF(INDEX('3 Critical Apps'!$I$6:$I$105,MATCH(B13,'3 Critical Apps'!$A$6:$A$105,0))="","",INDEX('3 Critical Apps'!$I$6:$I$105,MATCH(B13,'3 Critical Apps'!$A$6:$A$105,0))),""))</f>
        <v/>
      </c>
      <c r="E13" s="39"/>
      <c r="F13" s="39"/>
      <c r="G13" s="39"/>
      <c r="H13" s="40"/>
      <c r="I13" s="41" t="str">
        <f aca="false">IF(OR(C13="",H13=""),"",IF(H13&gt;C13,"GAP","OK"))</f>
        <v/>
      </c>
      <c r="J13" s="40"/>
      <c r="K13" s="39"/>
      <c r="L13" s="39"/>
      <c r="M13" s="39"/>
      <c r="N13" s="39"/>
      <c r="O13" s="39"/>
      <c r="P13" s="39"/>
      <c r="Q13" s="39"/>
      <c r="R13" s="43"/>
      <c r="S13" s="41" t="str">
        <f aca="true">IF(A13="","",IF(R13="","NEVER TESTED",IF(TODAY()-R13&gt;RestoreTestMaxDays,"STALE","CURRENT")))</f>
        <v/>
      </c>
      <c r="T13" s="40"/>
      <c r="U13" s="41" t="str">
        <f aca="false">IF(OR(D13="",T13=""),"",IF(T13&gt;D13,"GAP","OK"))</f>
        <v/>
      </c>
      <c r="V13" s="39"/>
    </row>
    <row r="14" customFormat="false" ht="15" hidden="false" customHeight="false" outlineLevel="0" collapsed="false">
      <c r="A14" s="39"/>
      <c r="B14" s="39"/>
      <c r="C14" s="41" t="str">
        <f aca="false">IF(B14="","",IFERROR(IF(INDEX('3 Critical Apps'!$J$6:$J$105,MATCH(B14,'3 Critical Apps'!$A$6:$A$105,0))="","",INDEX('3 Critical Apps'!$J$6:$J$105,MATCH(B14,'3 Critical Apps'!$A$6:$A$105,0))),""))</f>
        <v/>
      </c>
      <c r="D14" s="41" t="str">
        <f aca="false">IF(B14="","",IFERROR(IF(INDEX('3 Critical Apps'!$I$6:$I$105,MATCH(B14,'3 Critical Apps'!$A$6:$A$105,0))="","",INDEX('3 Critical Apps'!$I$6:$I$105,MATCH(B14,'3 Critical Apps'!$A$6:$A$105,0))),""))</f>
        <v/>
      </c>
      <c r="E14" s="39"/>
      <c r="F14" s="39"/>
      <c r="G14" s="39"/>
      <c r="H14" s="40"/>
      <c r="I14" s="41" t="str">
        <f aca="false">IF(OR(C14="",H14=""),"",IF(H14&gt;C14,"GAP","OK"))</f>
        <v/>
      </c>
      <c r="J14" s="40"/>
      <c r="K14" s="39"/>
      <c r="L14" s="39"/>
      <c r="M14" s="39"/>
      <c r="N14" s="39"/>
      <c r="O14" s="39"/>
      <c r="P14" s="39"/>
      <c r="Q14" s="39"/>
      <c r="R14" s="43"/>
      <c r="S14" s="41" t="str">
        <f aca="true">IF(A14="","",IF(R14="","NEVER TESTED",IF(TODAY()-R14&gt;RestoreTestMaxDays,"STALE","CURRENT")))</f>
        <v/>
      </c>
      <c r="T14" s="40"/>
      <c r="U14" s="41" t="str">
        <f aca="false">IF(OR(D14="",T14=""),"",IF(T14&gt;D14,"GAP","OK"))</f>
        <v/>
      </c>
      <c r="V14" s="39"/>
    </row>
    <row r="15" customFormat="false" ht="15" hidden="false" customHeight="false" outlineLevel="0" collapsed="false">
      <c r="A15" s="39"/>
      <c r="B15" s="39"/>
      <c r="C15" s="41" t="str">
        <f aca="false">IF(B15="","",IFERROR(IF(INDEX('3 Critical Apps'!$J$6:$J$105,MATCH(B15,'3 Critical Apps'!$A$6:$A$105,0))="","",INDEX('3 Critical Apps'!$J$6:$J$105,MATCH(B15,'3 Critical Apps'!$A$6:$A$105,0))),""))</f>
        <v/>
      </c>
      <c r="D15" s="41" t="str">
        <f aca="false">IF(B15="","",IFERROR(IF(INDEX('3 Critical Apps'!$I$6:$I$105,MATCH(B15,'3 Critical Apps'!$A$6:$A$105,0))="","",INDEX('3 Critical Apps'!$I$6:$I$105,MATCH(B15,'3 Critical Apps'!$A$6:$A$105,0))),""))</f>
        <v/>
      </c>
      <c r="E15" s="39"/>
      <c r="F15" s="39"/>
      <c r="G15" s="39"/>
      <c r="H15" s="40"/>
      <c r="I15" s="41" t="str">
        <f aca="false">IF(OR(C15="",H15=""),"",IF(H15&gt;C15,"GAP","OK"))</f>
        <v/>
      </c>
      <c r="J15" s="40"/>
      <c r="K15" s="39"/>
      <c r="L15" s="39"/>
      <c r="M15" s="39"/>
      <c r="N15" s="39"/>
      <c r="O15" s="39"/>
      <c r="P15" s="39"/>
      <c r="Q15" s="39"/>
      <c r="R15" s="43"/>
      <c r="S15" s="41" t="str">
        <f aca="true">IF(A15="","",IF(R15="","NEVER TESTED",IF(TODAY()-R15&gt;RestoreTestMaxDays,"STALE","CURRENT")))</f>
        <v/>
      </c>
      <c r="T15" s="40"/>
      <c r="U15" s="41" t="str">
        <f aca="false">IF(OR(D15="",T15=""),"",IF(T15&gt;D15,"GAP","OK"))</f>
        <v/>
      </c>
      <c r="V15" s="39"/>
    </row>
    <row r="16" customFormat="false" ht="15" hidden="false" customHeight="false" outlineLevel="0" collapsed="false">
      <c r="A16" s="39"/>
      <c r="B16" s="39"/>
      <c r="C16" s="41" t="str">
        <f aca="false">IF(B16="","",IFERROR(IF(INDEX('3 Critical Apps'!$J$6:$J$105,MATCH(B16,'3 Critical Apps'!$A$6:$A$105,0))="","",INDEX('3 Critical Apps'!$J$6:$J$105,MATCH(B16,'3 Critical Apps'!$A$6:$A$105,0))),""))</f>
        <v/>
      </c>
      <c r="D16" s="41" t="str">
        <f aca="false">IF(B16="","",IFERROR(IF(INDEX('3 Critical Apps'!$I$6:$I$105,MATCH(B16,'3 Critical Apps'!$A$6:$A$105,0))="","",INDEX('3 Critical Apps'!$I$6:$I$105,MATCH(B16,'3 Critical Apps'!$A$6:$A$105,0))),""))</f>
        <v/>
      </c>
      <c r="E16" s="39"/>
      <c r="F16" s="39"/>
      <c r="G16" s="39"/>
      <c r="H16" s="40"/>
      <c r="I16" s="41" t="str">
        <f aca="false">IF(OR(C16="",H16=""),"",IF(H16&gt;C16,"GAP","OK"))</f>
        <v/>
      </c>
      <c r="J16" s="40"/>
      <c r="K16" s="39"/>
      <c r="L16" s="39"/>
      <c r="M16" s="39"/>
      <c r="N16" s="39"/>
      <c r="O16" s="39"/>
      <c r="P16" s="39"/>
      <c r="Q16" s="39"/>
      <c r="R16" s="43"/>
      <c r="S16" s="41" t="str">
        <f aca="true">IF(A16="","",IF(R16="","NEVER TESTED",IF(TODAY()-R16&gt;RestoreTestMaxDays,"STALE","CURRENT")))</f>
        <v/>
      </c>
      <c r="T16" s="40"/>
      <c r="U16" s="41" t="str">
        <f aca="false">IF(OR(D16="",T16=""),"",IF(T16&gt;D16,"GAP","OK"))</f>
        <v/>
      </c>
      <c r="V16" s="39"/>
    </row>
    <row r="17" customFormat="false" ht="15" hidden="false" customHeight="false" outlineLevel="0" collapsed="false">
      <c r="A17" s="39"/>
      <c r="B17" s="39"/>
      <c r="C17" s="41" t="str">
        <f aca="false">IF(B17="","",IFERROR(IF(INDEX('3 Critical Apps'!$J$6:$J$105,MATCH(B17,'3 Critical Apps'!$A$6:$A$105,0))="","",INDEX('3 Critical Apps'!$J$6:$J$105,MATCH(B17,'3 Critical Apps'!$A$6:$A$105,0))),""))</f>
        <v/>
      </c>
      <c r="D17" s="41" t="str">
        <f aca="false">IF(B17="","",IFERROR(IF(INDEX('3 Critical Apps'!$I$6:$I$105,MATCH(B17,'3 Critical Apps'!$A$6:$A$105,0))="","",INDEX('3 Critical Apps'!$I$6:$I$105,MATCH(B17,'3 Critical Apps'!$A$6:$A$105,0))),""))</f>
        <v/>
      </c>
      <c r="E17" s="39"/>
      <c r="F17" s="39"/>
      <c r="G17" s="39"/>
      <c r="H17" s="40"/>
      <c r="I17" s="41" t="str">
        <f aca="false">IF(OR(C17="",H17=""),"",IF(H17&gt;C17,"GAP","OK"))</f>
        <v/>
      </c>
      <c r="J17" s="40"/>
      <c r="K17" s="39"/>
      <c r="L17" s="39"/>
      <c r="M17" s="39"/>
      <c r="N17" s="39"/>
      <c r="O17" s="39"/>
      <c r="P17" s="39"/>
      <c r="Q17" s="39"/>
      <c r="R17" s="43"/>
      <c r="S17" s="41" t="str">
        <f aca="true">IF(A17="","",IF(R17="","NEVER TESTED",IF(TODAY()-R17&gt;RestoreTestMaxDays,"STALE","CURRENT")))</f>
        <v/>
      </c>
      <c r="T17" s="40"/>
      <c r="U17" s="41" t="str">
        <f aca="false">IF(OR(D17="",T17=""),"",IF(T17&gt;D17,"GAP","OK"))</f>
        <v/>
      </c>
      <c r="V17" s="39"/>
    </row>
    <row r="18" customFormat="false" ht="15" hidden="false" customHeight="false" outlineLevel="0" collapsed="false">
      <c r="A18" s="39"/>
      <c r="B18" s="39"/>
      <c r="C18" s="41" t="str">
        <f aca="false">IF(B18="","",IFERROR(IF(INDEX('3 Critical Apps'!$J$6:$J$105,MATCH(B18,'3 Critical Apps'!$A$6:$A$105,0))="","",INDEX('3 Critical Apps'!$J$6:$J$105,MATCH(B18,'3 Critical Apps'!$A$6:$A$105,0))),""))</f>
        <v/>
      </c>
      <c r="D18" s="41" t="str">
        <f aca="false">IF(B18="","",IFERROR(IF(INDEX('3 Critical Apps'!$I$6:$I$105,MATCH(B18,'3 Critical Apps'!$A$6:$A$105,0))="","",INDEX('3 Critical Apps'!$I$6:$I$105,MATCH(B18,'3 Critical Apps'!$A$6:$A$105,0))),""))</f>
        <v/>
      </c>
      <c r="E18" s="39"/>
      <c r="F18" s="39"/>
      <c r="G18" s="39"/>
      <c r="H18" s="40"/>
      <c r="I18" s="41" t="str">
        <f aca="false">IF(OR(C18="",H18=""),"",IF(H18&gt;C18,"GAP","OK"))</f>
        <v/>
      </c>
      <c r="J18" s="40"/>
      <c r="K18" s="39"/>
      <c r="L18" s="39"/>
      <c r="M18" s="39"/>
      <c r="N18" s="39"/>
      <c r="O18" s="39"/>
      <c r="P18" s="39"/>
      <c r="Q18" s="39"/>
      <c r="R18" s="43"/>
      <c r="S18" s="41" t="str">
        <f aca="true">IF(A18="","",IF(R18="","NEVER TESTED",IF(TODAY()-R18&gt;RestoreTestMaxDays,"STALE","CURRENT")))</f>
        <v/>
      </c>
      <c r="T18" s="40"/>
      <c r="U18" s="41" t="str">
        <f aca="false">IF(OR(D18="",T18=""),"",IF(T18&gt;D18,"GAP","OK"))</f>
        <v/>
      </c>
      <c r="V18" s="39"/>
    </row>
    <row r="19" customFormat="false" ht="15" hidden="false" customHeight="false" outlineLevel="0" collapsed="false">
      <c r="A19" s="39"/>
      <c r="B19" s="39"/>
      <c r="C19" s="41" t="str">
        <f aca="false">IF(B19="","",IFERROR(IF(INDEX('3 Critical Apps'!$J$6:$J$105,MATCH(B19,'3 Critical Apps'!$A$6:$A$105,0))="","",INDEX('3 Critical Apps'!$J$6:$J$105,MATCH(B19,'3 Critical Apps'!$A$6:$A$105,0))),""))</f>
        <v/>
      </c>
      <c r="D19" s="41" t="str">
        <f aca="false">IF(B19="","",IFERROR(IF(INDEX('3 Critical Apps'!$I$6:$I$105,MATCH(B19,'3 Critical Apps'!$A$6:$A$105,0))="","",INDEX('3 Critical Apps'!$I$6:$I$105,MATCH(B19,'3 Critical Apps'!$A$6:$A$105,0))),""))</f>
        <v/>
      </c>
      <c r="E19" s="39"/>
      <c r="F19" s="39"/>
      <c r="G19" s="39"/>
      <c r="H19" s="40"/>
      <c r="I19" s="41" t="str">
        <f aca="false">IF(OR(C19="",H19=""),"",IF(H19&gt;C19,"GAP","OK"))</f>
        <v/>
      </c>
      <c r="J19" s="40"/>
      <c r="K19" s="39"/>
      <c r="L19" s="39"/>
      <c r="M19" s="39"/>
      <c r="N19" s="39"/>
      <c r="O19" s="39"/>
      <c r="P19" s="39"/>
      <c r="Q19" s="39"/>
      <c r="R19" s="43"/>
      <c r="S19" s="41" t="str">
        <f aca="true">IF(A19="","",IF(R19="","NEVER TESTED",IF(TODAY()-R19&gt;RestoreTestMaxDays,"STALE","CURRENT")))</f>
        <v/>
      </c>
      <c r="T19" s="40"/>
      <c r="U19" s="41" t="str">
        <f aca="false">IF(OR(D19="",T19=""),"",IF(T19&gt;D19,"GAP","OK"))</f>
        <v/>
      </c>
      <c r="V19" s="39"/>
    </row>
    <row r="20" customFormat="false" ht="15" hidden="false" customHeight="false" outlineLevel="0" collapsed="false">
      <c r="A20" s="39"/>
      <c r="B20" s="39"/>
      <c r="C20" s="41" t="str">
        <f aca="false">IF(B20="","",IFERROR(IF(INDEX('3 Critical Apps'!$J$6:$J$105,MATCH(B20,'3 Critical Apps'!$A$6:$A$105,0))="","",INDEX('3 Critical Apps'!$J$6:$J$105,MATCH(B20,'3 Critical Apps'!$A$6:$A$105,0))),""))</f>
        <v/>
      </c>
      <c r="D20" s="41" t="str">
        <f aca="false">IF(B20="","",IFERROR(IF(INDEX('3 Critical Apps'!$I$6:$I$105,MATCH(B20,'3 Critical Apps'!$A$6:$A$105,0))="","",INDEX('3 Critical Apps'!$I$6:$I$105,MATCH(B20,'3 Critical Apps'!$A$6:$A$105,0))),""))</f>
        <v/>
      </c>
      <c r="E20" s="39"/>
      <c r="F20" s="39"/>
      <c r="G20" s="39"/>
      <c r="H20" s="40"/>
      <c r="I20" s="41" t="str">
        <f aca="false">IF(OR(C20="",H20=""),"",IF(H20&gt;C20,"GAP","OK"))</f>
        <v/>
      </c>
      <c r="J20" s="40"/>
      <c r="K20" s="39"/>
      <c r="L20" s="39"/>
      <c r="M20" s="39"/>
      <c r="N20" s="39"/>
      <c r="O20" s="39"/>
      <c r="P20" s="39"/>
      <c r="Q20" s="39"/>
      <c r="R20" s="43"/>
      <c r="S20" s="41" t="str">
        <f aca="true">IF(A20="","",IF(R20="","NEVER TESTED",IF(TODAY()-R20&gt;RestoreTestMaxDays,"STALE","CURRENT")))</f>
        <v/>
      </c>
      <c r="T20" s="40"/>
      <c r="U20" s="41" t="str">
        <f aca="false">IF(OR(D20="",T20=""),"",IF(T20&gt;D20,"GAP","OK"))</f>
        <v/>
      </c>
      <c r="V20" s="39"/>
    </row>
    <row r="21" customFormat="false" ht="15" hidden="false" customHeight="false" outlineLevel="0" collapsed="false">
      <c r="A21" s="39"/>
      <c r="B21" s="39"/>
      <c r="C21" s="41" t="str">
        <f aca="false">IF(B21="","",IFERROR(IF(INDEX('3 Critical Apps'!$J$6:$J$105,MATCH(B21,'3 Critical Apps'!$A$6:$A$105,0))="","",INDEX('3 Critical Apps'!$J$6:$J$105,MATCH(B21,'3 Critical Apps'!$A$6:$A$105,0))),""))</f>
        <v/>
      </c>
      <c r="D21" s="41" t="str">
        <f aca="false">IF(B21="","",IFERROR(IF(INDEX('3 Critical Apps'!$I$6:$I$105,MATCH(B21,'3 Critical Apps'!$A$6:$A$105,0))="","",INDEX('3 Critical Apps'!$I$6:$I$105,MATCH(B21,'3 Critical Apps'!$A$6:$A$105,0))),""))</f>
        <v/>
      </c>
      <c r="E21" s="39"/>
      <c r="F21" s="39"/>
      <c r="G21" s="39"/>
      <c r="H21" s="40"/>
      <c r="I21" s="41" t="str">
        <f aca="false">IF(OR(C21="",H21=""),"",IF(H21&gt;C21,"GAP","OK"))</f>
        <v/>
      </c>
      <c r="J21" s="40"/>
      <c r="K21" s="39"/>
      <c r="L21" s="39"/>
      <c r="M21" s="39"/>
      <c r="N21" s="39"/>
      <c r="O21" s="39"/>
      <c r="P21" s="39"/>
      <c r="Q21" s="39"/>
      <c r="R21" s="43"/>
      <c r="S21" s="41" t="str">
        <f aca="true">IF(A21="","",IF(R21="","NEVER TESTED",IF(TODAY()-R21&gt;RestoreTestMaxDays,"STALE","CURRENT")))</f>
        <v/>
      </c>
      <c r="T21" s="40"/>
      <c r="U21" s="41" t="str">
        <f aca="false">IF(OR(D21="",T21=""),"",IF(T21&gt;D21,"GAP","OK"))</f>
        <v/>
      </c>
      <c r="V21" s="39"/>
    </row>
    <row r="22" customFormat="false" ht="15" hidden="false" customHeight="false" outlineLevel="0" collapsed="false">
      <c r="A22" s="39"/>
      <c r="B22" s="39"/>
      <c r="C22" s="41" t="str">
        <f aca="false">IF(B22="","",IFERROR(IF(INDEX('3 Critical Apps'!$J$6:$J$105,MATCH(B22,'3 Critical Apps'!$A$6:$A$105,0))="","",INDEX('3 Critical Apps'!$J$6:$J$105,MATCH(B22,'3 Critical Apps'!$A$6:$A$105,0))),""))</f>
        <v/>
      </c>
      <c r="D22" s="41" t="str">
        <f aca="false">IF(B22="","",IFERROR(IF(INDEX('3 Critical Apps'!$I$6:$I$105,MATCH(B22,'3 Critical Apps'!$A$6:$A$105,0))="","",INDEX('3 Critical Apps'!$I$6:$I$105,MATCH(B22,'3 Critical Apps'!$A$6:$A$105,0))),""))</f>
        <v/>
      </c>
      <c r="E22" s="39"/>
      <c r="F22" s="39"/>
      <c r="G22" s="39"/>
      <c r="H22" s="40"/>
      <c r="I22" s="41" t="str">
        <f aca="false">IF(OR(C22="",H22=""),"",IF(H22&gt;C22,"GAP","OK"))</f>
        <v/>
      </c>
      <c r="J22" s="40"/>
      <c r="K22" s="39"/>
      <c r="L22" s="39"/>
      <c r="M22" s="39"/>
      <c r="N22" s="39"/>
      <c r="O22" s="39"/>
      <c r="P22" s="39"/>
      <c r="Q22" s="39"/>
      <c r="R22" s="43"/>
      <c r="S22" s="41" t="str">
        <f aca="true">IF(A22="","",IF(R22="","NEVER TESTED",IF(TODAY()-R22&gt;RestoreTestMaxDays,"STALE","CURRENT")))</f>
        <v/>
      </c>
      <c r="T22" s="40"/>
      <c r="U22" s="41" t="str">
        <f aca="false">IF(OR(D22="",T22=""),"",IF(T22&gt;D22,"GAP","OK"))</f>
        <v/>
      </c>
      <c r="V22" s="39"/>
    </row>
    <row r="23" customFormat="false" ht="15" hidden="false" customHeight="false" outlineLevel="0" collapsed="false">
      <c r="A23" s="39"/>
      <c r="B23" s="39"/>
      <c r="C23" s="41" t="str">
        <f aca="false">IF(B23="","",IFERROR(IF(INDEX('3 Critical Apps'!$J$6:$J$105,MATCH(B23,'3 Critical Apps'!$A$6:$A$105,0))="","",INDEX('3 Critical Apps'!$J$6:$J$105,MATCH(B23,'3 Critical Apps'!$A$6:$A$105,0))),""))</f>
        <v/>
      </c>
      <c r="D23" s="41" t="str">
        <f aca="false">IF(B23="","",IFERROR(IF(INDEX('3 Critical Apps'!$I$6:$I$105,MATCH(B23,'3 Critical Apps'!$A$6:$A$105,0))="","",INDEX('3 Critical Apps'!$I$6:$I$105,MATCH(B23,'3 Critical Apps'!$A$6:$A$105,0))),""))</f>
        <v/>
      </c>
      <c r="E23" s="39"/>
      <c r="F23" s="39"/>
      <c r="G23" s="39"/>
      <c r="H23" s="40"/>
      <c r="I23" s="41" t="str">
        <f aca="false">IF(OR(C23="",H23=""),"",IF(H23&gt;C23,"GAP","OK"))</f>
        <v/>
      </c>
      <c r="J23" s="40"/>
      <c r="K23" s="39"/>
      <c r="L23" s="39"/>
      <c r="M23" s="39"/>
      <c r="N23" s="39"/>
      <c r="O23" s="39"/>
      <c r="P23" s="39"/>
      <c r="Q23" s="39"/>
      <c r="R23" s="43"/>
      <c r="S23" s="41" t="str">
        <f aca="true">IF(A23="","",IF(R23="","NEVER TESTED",IF(TODAY()-R23&gt;RestoreTestMaxDays,"STALE","CURRENT")))</f>
        <v/>
      </c>
      <c r="T23" s="40"/>
      <c r="U23" s="41" t="str">
        <f aca="false">IF(OR(D23="",T23=""),"",IF(T23&gt;D23,"GAP","OK"))</f>
        <v/>
      </c>
      <c r="V23" s="39"/>
    </row>
    <row r="24" customFormat="false" ht="15" hidden="false" customHeight="false" outlineLevel="0" collapsed="false">
      <c r="A24" s="39"/>
      <c r="B24" s="39"/>
      <c r="C24" s="41" t="str">
        <f aca="false">IF(B24="","",IFERROR(IF(INDEX('3 Critical Apps'!$J$6:$J$105,MATCH(B24,'3 Critical Apps'!$A$6:$A$105,0))="","",INDEX('3 Critical Apps'!$J$6:$J$105,MATCH(B24,'3 Critical Apps'!$A$6:$A$105,0))),""))</f>
        <v/>
      </c>
      <c r="D24" s="41" t="str">
        <f aca="false">IF(B24="","",IFERROR(IF(INDEX('3 Critical Apps'!$I$6:$I$105,MATCH(B24,'3 Critical Apps'!$A$6:$A$105,0))="","",INDEX('3 Critical Apps'!$I$6:$I$105,MATCH(B24,'3 Critical Apps'!$A$6:$A$105,0))),""))</f>
        <v/>
      </c>
      <c r="E24" s="39"/>
      <c r="F24" s="39"/>
      <c r="G24" s="39"/>
      <c r="H24" s="40"/>
      <c r="I24" s="41" t="str">
        <f aca="false">IF(OR(C24="",H24=""),"",IF(H24&gt;C24,"GAP","OK"))</f>
        <v/>
      </c>
      <c r="J24" s="40"/>
      <c r="K24" s="39"/>
      <c r="L24" s="39"/>
      <c r="M24" s="39"/>
      <c r="N24" s="39"/>
      <c r="O24" s="39"/>
      <c r="P24" s="39"/>
      <c r="Q24" s="39"/>
      <c r="R24" s="43"/>
      <c r="S24" s="41" t="str">
        <f aca="true">IF(A24="","",IF(R24="","NEVER TESTED",IF(TODAY()-R24&gt;RestoreTestMaxDays,"STALE","CURRENT")))</f>
        <v/>
      </c>
      <c r="T24" s="40"/>
      <c r="U24" s="41" t="str">
        <f aca="false">IF(OR(D24="",T24=""),"",IF(T24&gt;D24,"GAP","OK"))</f>
        <v/>
      </c>
      <c r="V24" s="39"/>
    </row>
    <row r="25" customFormat="false" ht="15" hidden="false" customHeight="false" outlineLevel="0" collapsed="false">
      <c r="A25" s="39"/>
      <c r="B25" s="39"/>
      <c r="C25" s="41" t="str">
        <f aca="false">IF(B25="","",IFERROR(IF(INDEX('3 Critical Apps'!$J$6:$J$105,MATCH(B25,'3 Critical Apps'!$A$6:$A$105,0))="","",INDEX('3 Critical Apps'!$J$6:$J$105,MATCH(B25,'3 Critical Apps'!$A$6:$A$105,0))),""))</f>
        <v/>
      </c>
      <c r="D25" s="41" t="str">
        <f aca="false">IF(B25="","",IFERROR(IF(INDEX('3 Critical Apps'!$I$6:$I$105,MATCH(B25,'3 Critical Apps'!$A$6:$A$105,0))="","",INDEX('3 Critical Apps'!$I$6:$I$105,MATCH(B25,'3 Critical Apps'!$A$6:$A$105,0))),""))</f>
        <v/>
      </c>
      <c r="E25" s="39"/>
      <c r="F25" s="39"/>
      <c r="G25" s="39"/>
      <c r="H25" s="40"/>
      <c r="I25" s="41" t="str">
        <f aca="false">IF(OR(C25="",H25=""),"",IF(H25&gt;C25,"GAP","OK"))</f>
        <v/>
      </c>
      <c r="J25" s="40"/>
      <c r="K25" s="39"/>
      <c r="L25" s="39"/>
      <c r="M25" s="39"/>
      <c r="N25" s="39"/>
      <c r="O25" s="39"/>
      <c r="P25" s="39"/>
      <c r="Q25" s="39"/>
      <c r="R25" s="43"/>
      <c r="S25" s="41" t="str">
        <f aca="true">IF(A25="","",IF(R25="","NEVER TESTED",IF(TODAY()-R25&gt;RestoreTestMaxDays,"STALE","CURRENT")))</f>
        <v/>
      </c>
      <c r="T25" s="40"/>
      <c r="U25" s="41" t="str">
        <f aca="false">IF(OR(D25="",T25=""),"",IF(T25&gt;D25,"GAP","OK"))</f>
        <v/>
      </c>
      <c r="V25" s="39"/>
    </row>
    <row r="26" customFormat="false" ht="15" hidden="false" customHeight="false" outlineLevel="0" collapsed="false">
      <c r="A26" s="39"/>
      <c r="B26" s="39"/>
      <c r="C26" s="41" t="str">
        <f aca="false">IF(B26="","",IFERROR(IF(INDEX('3 Critical Apps'!$J$6:$J$105,MATCH(B26,'3 Critical Apps'!$A$6:$A$105,0))="","",INDEX('3 Critical Apps'!$J$6:$J$105,MATCH(B26,'3 Critical Apps'!$A$6:$A$105,0))),""))</f>
        <v/>
      </c>
      <c r="D26" s="41" t="str">
        <f aca="false">IF(B26="","",IFERROR(IF(INDEX('3 Critical Apps'!$I$6:$I$105,MATCH(B26,'3 Critical Apps'!$A$6:$A$105,0))="","",INDEX('3 Critical Apps'!$I$6:$I$105,MATCH(B26,'3 Critical Apps'!$A$6:$A$105,0))),""))</f>
        <v/>
      </c>
      <c r="E26" s="39"/>
      <c r="F26" s="39"/>
      <c r="G26" s="39"/>
      <c r="H26" s="40"/>
      <c r="I26" s="41" t="str">
        <f aca="false">IF(OR(C26="",H26=""),"",IF(H26&gt;C26,"GAP","OK"))</f>
        <v/>
      </c>
      <c r="J26" s="40"/>
      <c r="K26" s="39"/>
      <c r="L26" s="39"/>
      <c r="M26" s="39"/>
      <c r="N26" s="39"/>
      <c r="O26" s="39"/>
      <c r="P26" s="39"/>
      <c r="Q26" s="39"/>
      <c r="R26" s="43"/>
      <c r="S26" s="41" t="str">
        <f aca="true">IF(A26="","",IF(R26="","NEVER TESTED",IF(TODAY()-R26&gt;RestoreTestMaxDays,"STALE","CURRENT")))</f>
        <v/>
      </c>
      <c r="T26" s="40"/>
      <c r="U26" s="41" t="str">
        <f aca="false">IF(OR(D26="",T26=""),"",IF(T26&gt;D26,"GAP","OK"))</f>
        <v/>
      </c>
      <c r="V26" s="39"/>
    </row>
    <row r="27" customFormat="false" ht="15" hidden="false" customHeight="false" outlineLevel="0" collapsed="false">
      <c r="A27" s="39"/>
      <c r="B27" s="39"/>
      <c r="C27" s="41" t="str">
        <f aca="false">IF(B27="","",IFERROR(IF(INDEX('3 Critical Apps'!$J$6:$J$105,MATCH(B27,'3 Critical Apps'!$A$6:$A$105,0))="","",INDEX('3 Critical Apps'!$J$6:$J$105,MATCH(B27,'3 Critical Apps'!$A$6:$A$105,0))),""))</f>
        <v/>
      </c>
      <c r="D27" s="41" t="str">
        <f aca="false">IF(B27="","",IFERROR(IF(INDEX('3 Critical Apps'!$I$6:$I$105,MATCH(B27,'3 Critical Apps'!$A$6:$A$105,0))="","",INDEX('3 Critical Apps'!$I$6:$I$105,MATCH(B27,'3 Critical Apps'!$A$6:$A$105,0))),""))</f>
        <v/>
      </c>
      <c r="E27" s="39"/>
      <c r="F27" s="39"/>
      <c r="G27" s="39"/>
      <c r="H27" s="40"/>
      <c r="I27" s="41" t="str">
        <f aca="false">IF(OR(C27="",H27=""),"",IF(H27&gt;C27,"GAP","OK"))</f>
        <v/>
      </c>
      <c r="J27" s="40"/>
      <c r="K27" s="39"/>
      <c r="L27" s="39"/>
      <c r="M27" s="39"/>
      <c r="N27" s="39"/>
      <c r="O27" s="39"/>
      <c r="P27" s="39"/>
      <c r="Q27" s="39"/>
      <c r="R27" s="43"/>
      <c r="S27" s="41" t="str">
        <f aca="true">IF(A27="","",IF(R27="","NEVER TESTED",IF(TODAY()-R27&gt;RestoreTestMaxDays,"STALE","CURRENT")))</f>
        <v/>
      </c>
      <c r="T27" s="40"/>
      <c r="U27" s="41" t="str">
        <f aca="false">IF(OR(D27="",T27=""),"",IF(T27&gt;D27,"GAP","OK"))</f>
        <v/>
      </c>
      <c r="V27" s="39"/>
    </row>
    <row r="28" customFormat="false" ht="15" hidden="false" customHeight="false" outlineLevel="0" collapsed="false">
      <c r="A28" s="39"/>
      <c r="B28" s="39"/>
      <c r="C28" s="41" t="str">
        <f aca="false">IF(B28="","",IFERROR(IF(INDEX('3 Critical Apps'!$J$6:$J$105,MATCH(B28,'3 Critical Apps'!$A$6:$A$105,0))="","",INDEX('3 Critical Apps'!$J$6:$J$105,MATCH(B28,'3 Critical Apps'!$A$6:$A$105,0))),""))</f>
        <v/>
      </c>
      <c r="D28" s="41" t="str">
        <f aca="false">IF(B28="","",IFERROR(IF(INDEX('3 Critical Apps'!$I$6:$I$105,MATCH(B28,'3 Critical Apps'!$A$6:$A$105,0))="","",INDEX('3 Critical Apps'!$I$6:$I$105,MATCH(B28,'3 Critical Apps'!$A$6:$A$105,0))),""))</f>
        <v/>
      </c>
      <c r="E28" s="39"/>
      <c r="F28" s="39"/>
      <c r="G28" s="39"/>
      <c r="H28" s="40"/>
      <c r="I28" s="41" t="str">
        <f aca="false">IF(OR(C28="",H28=""),"",IF(H28&gt;C28,"GAP","OK"))</f>
        <v/>
      </c>
      <c r="J28" s="40"/>
      <c r="K28" s="39"/>
      <c r="L28" s="39"/>
      <c r="M28" s="39"/>
      <c r="N28" s="39"/>
      <c r="O28" s="39"/>
      <c r="P28" s="39"/>
      <c r="Q28" s="39"/>
      <c r="R28" s="43"/>
      <c r="S28" s="41" t="str">
        <f aca="true">IF(A28="","",IF(R28="","NEVER TESTED",IF(TODAY()-R28&gt;RestoreTestMaxDays,"STALE","CURRENT")))</f>
        <v/>
      </c>
      <c r="T28" s="40"/>
      <c r="U28" s="41" t="str">
        <f aca="false">IF(OR(D28="",T28=""),"",IF(T28&gt;D28,"GAP","OK"))</f>
        <v/>
      </c>
      <c r="V28" s="39"/>
    </row>
    <row r="29" customFormat="false" ht="15" hidden="false" customHeight="false" outlineLevel="0" collapsed="false">
      <c r="A29" s="39"/>
      <c r="B29" s="39"/>
      <c r="C29" s="41" t="str">
        <f aca="false">IF(B29="","",IFERROR(IF(INDEX('3 Critical Apps'!$J$6:$J$105,MATCH(B29,'3 Critical Apps'!$A$6:$A$105,0))="","",INDEX('3 Critical Apps'!$J$6:$J$105,MATCH(B29,'3 Critical Apps'!$A$6:$A$105,0))),""))</f>
        <v/>
      </c>
      <c r="D29" s="41" t="str">
        <f aca="false">IF(B29="","",IFERROR(IF(INDEX('3 Critical Apps'!$I$6:$I$105,MATCH(B29,'3 Critical Apps'!$A$6:$A$105,0))="","",INDEX('3 Critical Apps'!$I$6:$I$105,MATCH(B29,'3 Critical Apps'!$A$6:$A$105,0))),""))</f>
        <v/>
      </c>
      <c r="E29" s="39"/>
      <c r="F29" s="39"/>
      <c r="G29" s="39"/>
      <c r="H29" s="40"/>
      <c r="I29" s="41" t="str">
        <f aca="false">IF(OR(C29="",H29=""),"",IF(H29&gt;C29,"GAP","OK"))</f>
        <v/>
      </c>
      <c r="J29" s="40"/>
      <c r="K29" s="39"/>
      <c r="L29" s="39"/>
      <c r="M29" s="39"/>
      <c r="N29" s="39"/>
      <c r="O29" s="39"/>
      <c r="P29" s="39"/>
      <c r="Q29" s="39"/>
      <c r="R29" s="43"/>
      <c r="S29" s="41" t="str">
        <f aca="true">IF(A29="","",IF(R29="","NEVER TESTED",IF(TODAY()-R29&gt;RestoreTestMaxDays,"STALE","CURRENT")))</f>
        <v/>
      </c>
      <c r="T29" s="40"/>
      <c r="U29" s="41" t="str">
        <f aca="false">IF(OR(D29="",T29=""),"",IF(T29&gt;D29,"GAP","OK"))</f>
        <v/>
      </c>
      <c r="V29" s="39"/>
    </row>
    <row r="30" customFormat="false" ht="15" hidden="false" customHeight="false" outlineLevel="0" collapsed="false">
      <c r="A30" s="39"/>
      <c r="B30" s="39"/>
      <c r="C30" s="41" t="str">
        <f aca="false">IF(B30="","",IFERROR(IF(INDEX('3 Critical Apps'!$J$6:$J$105,MATCH(B30,'3 Critical Apps'!$A$6:$A$105,0))="","",INDEX('3 Critical Apps'!$J$6:$J$105,MATCH(B30,'3 Critical Apps'!$A$6:$A$105,0))),""))</f>
        <v/>
      </c>
      <c r="D30" s="41" t="str">
        <f aca="false">IF(B30="","",IFERROR(IF(INDEX('3 Critical Apps'!$I$6:$I$105,MATCH(B30,'3 Critical Apps'!$A$6:$A$105,0))="","",INDEX('3 Critical Apps'!$I$6:$I$105,MATCH(B30,'3 Critical Apps'!$A$6:$A$105,0))),""))</f>
        <v/>
      </c>
      <c r="E30" s="39"/>
      <c r="F30" s="39"/>
      <c r="G30" s="39"/>
      <c r="H30" s="40"/>
      <c r="I30" s="41" t="str">
        <f aca="false">IF(OR(C30="",H30=""),"",IF(H30&gt;C30,"GAP","OK"))</f>
        <v/>
      </c>
      <c r="J30" s="40"/>
      <c r="K30" s="39"/>
      <c r="L30" s="39"/>
      <c r="M30" s="39"/>
      <c r="N30" s="39"/>
      <c r="O30" s="39"/>
      <c r="P30" s="39"/>
      <c r="Q30" s="39"/>
      <c r="R30" s="43"/>
      <c r="S30" s="41" t="str">
        <f aca="true">IF(A30="","",IF(R30="","NEVER TESTED",IF(TODAY()-R30&gt;RestoreTestMaxDays,"STALE","CURRENT")))</f>
        <v/>
      </c>
      <c r="T30" s="40"/>
      <c r="U30" s="41" t="str">
        <f aca="false">IF(OR(D30="",T30=""),"",IF(T30&gt;D30,"GAP","OK"))</f>
        <v/>
      </c>
      <c r="V30" s="39"/>
    </row>
    <row r="31" customFormat="false" ht="15" hidden="false" customHeight="false" outlineLevel="0" collapsed="false">
      <c r="A31" s="39"/>
      <c r="B31" s="39"/>
      <c r="C31" s="41" t="str">
        <f aca="false">IF(B31="","",IFERROR(IF(INDEX('3 Critical Apps'!$J$6:$J$105,MATCH(B31,'3 Critical Apps'!$A$6:$A$105,0))="","",INDEX('3 Critical Apps'!$J$6:$J$105,MATCH(B31,'3 Critical Apps'!$A$6:$A$105,0))),""))</f>
        <v/>
      </c>
      <c r="D31" s="41" t="str">
        <f aca="false">IF(B31="","",IFERROR(IF(INDEX('3 Critical Apps'!$I$6:$I$105,MATCH(B31,'3 Critical Apps'!$A$6:$A$105,0))="","",INDEX('3 Critical Apps'!$I$6:$I$105,MATCH(B31,'3 Critical Apps'!$A$6:$A$105,0))),""))</f>
        <v/>
      </c>
      <c r="E31" s="39"/>
      <c r="F31" s="39"/>
      <c r="G31" s="39"/>
      <c r="H31" s="40"/>
      <c r="I31" s="41" t="str">
        <f aca="false">IF(OR(C31="",H31=""),"",IF(H31&gt;C31,"GAP","OK"))</f>
        <v/>
      </c>
      <c r="J31" s="40"/>
      <c r="K31" s="39"/>
      <c r="L31" s="39"/>
      <c r="M31" s="39"/>
      <c r="N31" s="39"/>
      <c r="O31" s="39"/>
      <c r="P31" s="39"/>
      <c r="Q31" s="39"/>
      <c r="R31" s="43"/>
      <c r="S31" s="41" t="str">
        <f aca="true">IF(A31="","",IF(R31="","NEVER TESTED",IF(TODAY()-R31&gt;RestoreTestMaxDays,"STALE","CURRENT")))</f>
        <v/>
      </c>
      <c r="T31" s="40"/>
      <c r="U31" s="41" t="str">
        <f aca="false">IF(OR(D31="",T31=""),"",IF(T31&gt;D31,"GAP","OK"))</f>
        <v/>
      </c>
      <c r="V31" s="39"/>
    </row>
    <row r="32" customFormat="false" ht="15" hidden="false" customHeight="false" outlineLevel="0" collapsed="false">
      <c r="A32" s="39"/>
      <c r="B32" s="39"/>
      <c r="C32" s="41" t="str">
        <f aca="false">IF(B32="","",IFERROR(IF(INDEX('3 Critical Apps'!$J$6:$J$105,MATCH(B32,'3 Critical Apps'!$A$6:$A$105,0))="","",INDEX('3 Critical Apps'!$J$6:$J$105,MATCH(B32,'3 Critical Apps'!$A$6:$A$105,0))),""))</f>
        <v/>
      </c>
      <c r="D32" s="41" t="str">
        <f aca="false">IF(B32="","",IFERROR(IF(INDEX('3 Critical Apps'!$I$6:$I$105,MATCH(B32,'3 Critical Apps'!$A$6:$A$105,0))="","",INDEX('3 Critical Apps'!$I$6:$I$105,MATCH(B32,'3 Critical Apps'!$A$6:$A$105,0))),""))</f>
        <v/>
      </c>
      <c r="E32" s="39"/>
      <c r="F32" s="39"/>
      <c r="G32" s="39"/>
      <c r="H32" s="40"/>
      <c r="I32" s="41" t="str">
        <f aca="false">IF(OR(C32="",H32=""),"",IF(H32&gt;C32,"GAP","OK"))</f>
        <v/>
      </c>
      <c r="J32" s="40"/>
      <c r="K32" s="39"/>
      <c r="L32" s="39"/>
      <c r="M32" s="39"/>
      <c r="N32" s="39"/>
      <c r="O32" s="39"/>
      <c r="P32" s="39"/>
      <c r="Q32" s="39"/>
      <c r="R32" s="43"/>
      <c r="S32" s="41" t="str">
        <f aca="true">IF(A32="","",IF(R32="","NEVER TESTED",IF(TODAY()-R32&gt;RestoreTestMaxDays,"STALE","CURRENT")))</f>
        <v/>
      </c>
      <c r="T32" s="40"/>
      <c r="U32" s="41" t="str">
        <f aca="false">IF(OR(D32="",T32=""),"",IF(T32&gt;D32,"GAP","OK"))</f>
        <v/>
      </c>
      <c r="V32" s="39"/>
    </row>
    <row r="33" customFormat="false" ht="15" hidden="false" customHeight="false" outlineLevel="0" collapsed="false">
      <c r="A33" s="39"/>
      <c r="B33" s="39"/>
      <c r="C33" s="41" t="str">
        <f aca="false">IF(B33="","",IFERROR(IF(INDEX('3 Critical Apps'!$J$6:$J$105,MATCH(B33,'3 Critical Apps'!$A$6:$A$105,0))="","",INDEX('3 Critical Apps'!$J$6:$J$105,MATCH(B33,'3 Critical Apps'!$A$6:$A$105,0))),""))</f>
        <v/>
      </c>
      <c r="D33" s="41" t="str">
        <f aca="false">IF(B33="","",IFERROR(IF(INDEX('3 Critical Apps'!$I$6:$I$105,MATCH(B33,'3 Critical Apps'!$A$6:$A$105,0))="","",INDEX('3 Critical Apps'!$I$6:$I$105,MATCH(B33,'3 Critical Apps'!$A$6:$A$105,0))),""))</f>
        <v/>
      </c>
      <c r="E33" s="39"/>
      <c r="F33" s="39"/>
      <c r="G33" s="39"/>
      <c r="H33" s="40"/>
      <c r="I33" s="41" t="str">
        <f aca="false">IF(OR(C33="",H33=""),"",IF(H33&gt;C33,"GAP","OK"))</f>
        <v/>
      </c>
      <c r="J33" s="40"/>
      <c r="K33" s="39"/>
      <c r="L33" s="39"/>
      <c r="M33" s="39"/>
      <c r="N33" s="39"/>
      <c r="O33" s="39"/>
      <c r="P33" s="39"/>
      <c r="Q33" s="39"/>
      <c r="R33" s="43"/>
      <c r="S33" s="41" t="str">
        <f aca="true">IF(A33="","",IF(R33="","NEVER TESTED",IF(TODAY()-R33&gt;RestoreTestMaxDays,"STALE","CURRENT")))</f>
        <v/>
      </c>
      <c r="T33" s="40"/>
      <c r="U33" s="41" t="str">
        <f aca="false">IF(OR(D33="",T33=""),"",IF(T33&gt;D33,"GAP","OK"))</f>
        <v/>
      </c>
      <c r="V33" s="39"/>
    </row>
    <row r="34" customFormat="false" ht="15" hidden="false" customHeight="false" outlineLevel="0" collapsed="false">
      <c r="A34" s="39"/>
      <c r="B34" s="39"/>
      <c r="C34" s="41" t="str">
        <f aca="false">IF(B34="","",IFERROR(IF(INDEX('3 Critical Apps'!$J$6:$J$105,MATCH(B34,'3 Critical Apps'!$A$6:$A$105,0))="","",INDEX('3 Critical Apps'!$J$6:$J$105,MATCH(B34,'3 Critical Apps'!$A$6:$A$105,0))),""))</f>
        <v/>
      </c>
      <c r="D34" s="41" t="str">
        <f aca="false">IF(B34="","",IFERROR(IF(INDEX('3 Critical Apps'!$I$6:$I$105,MATCH(B34,'3 Critical Apps'!$A$6:$A$105,0))="","",INDEX('3 Critical Apps'!$I$6:$I$105,MATCH(B34,'3 Critical Apps'!$A$6:$A$105,0))),""))</f>
        <v/>
      </c>
      <c r="E34" s="39"/>
      <c r="F34" s="39"/>
      <c r="G34" s="39"/>
      <c r="H34" s="40"/>
      <c r="I34" s="41" t="str">
        <f aca="false">IF(OR(C34="",H34=""),"",IF(H34&gt;C34,"GAP","OK"))</f>
        <v/>
      </c>
      <c r="J34" s="40"/>
      <c r="K34" s="39"/>
      <c r="L34" s="39"/>
      <c r="M34" s="39"/>
      <c r="N34" s="39"/>
      <c r="O34" s="39"/>
      <c r="P34" s="39"/>
      <c r="Q34" s="39"/>
      <c r="R34" s="43"/>
      <c r="S34" s="41" t="str">
        <f aca="true">IF(A34="","",IF(R34="","NEVER TESTED",IF(TODAY()-R34&gt;RestoreTestMaxDays,"STALE","CURRENT")))</f>
        <v/>
      </c>
      <c r="T34" s="40"/>
      <c r="U34" s="41" t="str">
        <f aca="false">IF(OR(D34="",T34=""),"",IF(T34&gt;D34,"GAP","OK"))</f>
        <v/>
      </c>
      <c r="V34" s="39"/>
    </row>
    <row r="35" customFormat="false" ht="15" hidden="false" customHeight="false" outlineLevel="0" collapsed="false">
      <c r="A35" s="39"/>
      <c r="B35" s="39"/>
      <c r="C35" s="41" t="str">
        <f aca="false">IF(B35="","",IFERROR(IF(INDEX('3 Critical Apps'!$J$6:$J$105,MATCH(B35,'3 Critical Apps'!$A$6:$A$105,0))="","",INDEX('3 Critical Apps'!$J$6:$J$105,MATCH(B35,'3 Critical Apps'!$A$6:$A$105,0))),""))</f>
        <v/>
      </c>
      <c r="D35" s="41" t="str">
        <f aca="false">IF(B35="","",IFERROR(IF(INDEX('3 Critical Apps'!$I$6:$I$105,MATCH(B35,'3 Critical Apps'!$A$6:$A$105,0))="","",INDEX('3 Critical Apps'!$I$6:$I$105,MATCH(B35,'3 Critical Apps'!$A$6:$A$105,0))),""))</f>
        <v/>
      </c>
      <c r="E35" s="39"/>
      <c r="F35" s="39"/>
      <c r="G35" s="39"/>
      <c r="H35" s="40"/>
      <c r="I35" s="41" t="str">
        <f aca="false">IF(OR(C35="",H35=""),"",IF(H35&gt;C35,"GAP","OK"))</f>
        <v/>
      </c>
      <c r="J35" s="40"/>
      <c r="K35" s="39"/>
      <c r="L35" s="39"/>
      <c r="M35" s="39"/>
      <c r="N35" s="39"/>
      <c r="O35" s="39"/>
      <c r="P35" s="39"/>
      <c r="Q35" s="39"/>
      <c r="R35" s="43"/>
      <c r="S35" s="41" t="str">
        <f aca="true">IF(A35="","",IF(R35="","NEVER TESTED",IF(TODAY()-R35&gt;RestoreTestMaxDays,"STALE","CURRENT")))</f>
        <v/>
      </c>
      <c r="T35" s="40"/>
      <c r="U35" s="41" t="str">
        <f aca="false">IF(OR(D35="",T35=""),"",IF(T35&gt;D35,"GAP","OK"))</f>
        <v/>
      </c>
      <c r="V35" s="39"/>
    </row>
    <row r="36" customFormat="false" ht="15" hidden="false" customHeight="false" outlineLevel="0" collapsed="false">
      <c r="A36" s="39"/>
      <c r="B36" s="39"/>
      <c r="C36" s="41" t="str">
        <f aca="false">IF(B36="","",IFERROR(IF(INDEX('3 Critical Apps'!$J$6:$J$105,MATCH(B36,'3 Critical Apps'!$A$6:$A$105,0))="","",INDEX('3 Critical Apps'!$J$6:$J$105,MATCH(B36,'3 Critical Apps'!$A$6:$A$105,0))),""))</f>
        <v/>
      </c>
      <c r="D36" s="41" t="str">
        <f aca="false">IF(B36="","",IFERROR(IF(INDEX('3 Critical Apps'!$I$6:$I$105,MATCH(B36,'3 Critical Apps'!$A$6:$A$105,0))="","",INDEX('3 Critical Apps'!$I$6:$I$105,MATCH(B36,'3 Critical Apps'!$A$6:$A$105,0))),""))</f>
        <v/>
      </c>
      <c r="E36" s="39"/>
      <c r="F36" s="39"/>
      <c r="G36" s="39"/>
      <c r="H36" s="40"/>
      <c r="I36" s="41" t="str">
        <f aca="false">IF(OR(C36="",H36=""),"",IF(H36&gt;C36,"GAP","OK"))</f>
        <v/>
      </c>
      <c r="J36" s="40"/>
      <c r="K36" s="39"/>
      <c r="L36" s="39"/>
      <c r="M36" s="39"/>
      <c r="N36" s="39"/>
      <c r="O36" s="39"/>
      <c r="P36" s="39"/>
      <c r="Q36" s="39"/>
      <c r="R36" s="43"/>
      <c r="S36" s="41" t="str">
        <f aca="true">IF(A36="","",IF(R36="","NEVER TESTED",IF(TODAY()-R36&gt;RestoreTestMaxDays,"STALE","CURRENT")))</f>
        <v/>
      </c>
      <c r="T36" s="40"/>
      <c r="U36" s="41" t="str">
        <f aca="false">IF(OR(D36="",T36=""),"",IF(T36&gt;D36,"GAP","OK"))</f>
        <v/>
      </c>
      <c r="V36" s="39"/>
    </row>
    <row r="37" customFormat="false" ht="15" hidden="false" customHeight="false" outlineLevel="0" collapsed="false">
      <c r="A37" s="39"/>
      <c r="B37" s="39"/>
      <c r="C37" s="41" t="str">
        <f aca="false">IF(B37="","",IFERROR(IF(INDEX('3 Critical Apps'!$J$6:$J$105,MATCH(B37,'3 Critical Apps'!$A$6:$A$105,0))="","",INDEX('3 Critical Apps'!$J$6:$J$105,MATCH(B37,'3 Critical Apps'!$A$6:$A$105,0))),""))</f>
        <v/>
      </c>
      <c r="D37" s="41" t="str">
        <f aca="false">IF(B37="","",IFERROR(IF(INDEX('3 Critical Apps'!$I$6:$I$105,MATCH(B37,'3 Critical Apps'!$A$6:$A$105,0))="","",INDEX('3 Critical Apps'!$I$6:$I$105,MATCH(B37,'3 Critical Apps'!$A$6:$A$105,0))),""))</f>
        <v/>
      </c>
      <c r="E37" s="39"/>
      <c r="F37" s="39"/>
      <c r="G37" s="39"/>
      <c r="H37" s="40"/>
      <c r="I37" s="41" t="str">
        <f aca="false">IF(OR(C37="",H37=""),"",IF(H37&gt;C37,"GAP","OK"))</f>
        <v/>
      </c>
      <c r="J37" s="40"/>
      <c r="K37" s="39"/>
      <c r="L37" s="39"/>
      <c r="M37" s="39"/>
      <c r="N37" s="39"/>
      <c r="O37" s="39"/>
      <c r="P37" s="39"/>
      <c r="Q37" s="39"/>
      <c r="R37" s="43"/>
      <c r="S37" s="41" t="str">
        <f aca="true">IF(A37="","",IF(R37="","NEVER TESTED",IF(TODAY()-R37&gt;RestoreTestMaxDays,"STALE","CURRENT")))</f>
        <v/>
      </c>
      <c r="T37" s="40"/>
      <c r="U37" s="41" t="str">
        <f aca="false">IF(OR(D37="",T37=""),"",IF(T37&gt;D37,"GAP","OK"))</f>
        <v/>
      </c>
      <c r="V37" s="39"/>
    </row>
    <row r="38" customFormat="false" ht="15" hidden="false" customHeight="false" outlineLevel="0" collapsed="false">
      <c r="A38" s="39"/>
      <c r="B38" s="39"/>
      <c r="C38" s="41" t="str">
        <f aca="false">IF(B38="","",IFERROR(IF(INDEX('3 Critical Apps'!$J$6:$J$105,MATCH(B38,'3 Critical Apps'!$A$6:$A$105,0))="","",INDEX('3 Critical Apps'!$J$6:$J$105,MATCH(B38,'3 Critical Apps'!$A$6:$A$105,0))),""))</f>
        <v/>
      </c>
      <c r="D38" s="41" t="str">
        <f aca="false">IF(B38="","",IFERROR(IF(INDEX('3 Critical Apps'!$I$6:$I$105,MATCH(B38,'3 Critical Apps'!$A$6:$A$105,0))="","",INDEX('3 Critical Apps'!$I$6:$I$105,MATCH(B38,'3 Critical Apps'!$A$6:$A$105,0))),""))</f>
        <v/>
      </c>
      <c r="E38" s="39"/>
      <c r="F38" s="39"/>
      <c r="G38" s="39"/>
      <c r="H38" s="40"/>
      <c r="I38" s="41" t="str">
        <f aca="false">IF(OR(C38="",H38=""),"",IF(H38&gt;C38,"GAP","OK"))</f>
        <v/>
      </c>
      <c r="J38" s="40"/>
      <c r="K38" s="39"/>
      <c r="L38" s="39"/>
      <c r="M38" s="39"/>
      <c r="N38" s="39"/>
      <c r="O38" s="39"/>
      <c r="P38" s="39"/>
      <c r="Q38" s="39"/>
      <c r="R38" s="43"/>
      <c r="S38" s="41" t="str">
        <f aca="true">IF(A38="","",IF(R38="","NEVER TESTED",IF(TODAY()-R38&gt;RestoreTestMaxDays,"STALE","CURRENT")))</f>
        <v/>
      </c>
      <c r="T38" s="40"/>
      <c r="U38" s="41" t="str">
        <f aca="false">IF(OR(D38="",T38=""),"",IF(T38&gt;D38,"GAP","OK"))</f>
        <v/>
      </c>
      <c r="V38" s="39"/>
    </row>
    <row r="39" customFormat="false" ht="15" hidden="false" customHeight="false" outlineLevel="0" collapsed="false">
      <c r="A39" s="39"/>
      <c r="B39" s="39"/>
      <c r="C39" s="41" t="str">
        <f aca="false">IF(B39="","",IFERROR(IF(INDEX('3 Critical Apps'!$J$6:$J$105,MATCH(B39,'3 Critical Apps'!$A$6:$A$105,0))="","",INDEX('3 Critical Apps'!$J$6:$J$105,MATCH(B39,'3 Critical Apps'!$A$6:$A$105,0))),""))</f>
        <v/>
      </c>
      <c r="D39" s="41" t="str">
        <f aca="false">IF(B39="","",IFERROR(IF(INDEX('3 Critical Apps'!$I$6:$I$105,MATCH(B39,'3 Critical Apps'!$A$6:$A$105,0))="","",INDEX('3 Critical Apps'!$I$6:$I$105,MATCH(B39,'3 Critical Apps'!$A$6:$A$105,0))),""))</f>
        <v/>
      </c>
      <c r="E39" s="39"/>
      <c r="F39" s="39"/>
      <c r="G39" s="39"/>
      <c r="H39" s="40"/>
      <c r="I39" s="41" t="str">
        <f aca="false">IF(OR(C39="",H39=""),"",IF(H39&gt;C39,"GAP","OK"))</f>
        <v/>
      </c>
      <c r="J39" s="40"/>
      <c r="K39" s="39"/>
      <c r="L39" s="39"/>
      <c r="M39" s="39"/>
      <c r="N39" s="39"/>
      <c r="O39" s="39"/>
      <c r="P39" s="39"/>
      <c r="Q39" s="39"/>
      <c r="R39" s="43"/>
      <c r="S39" s="41" t="str">
        <f aca="true">IF(A39="","",IF(R39="","NEVER TESTED",IF(TODAY()-R39&gt;RestoreTestMaxDays,"STALE","CURRENT")))</f>
        <v/>
      </c>
      <c r="T39" s="40"/>
      <c r="U39" s="41" t="str">
        <f aca="false">IF(OR(D39="",T39=""),"",IF(T39&gt;D39,"GAP","OK"))</f>
        <v/>
      </c>
      <c r="V39" s="39"/>
    </row>
    <row r="40" customFormat="false" ht="15" hidden="false" customHeight="false" outlineLevel="0" collapsed="false">
      <c r="A40" s="39"/>
      <c r="B40" s="39"/>
      <c r="C40" s="41" t="str">
        <f aca="false">IF(B40="","",IFERROR(IF(INDEX('3 Critical Apps'!$J$6:$J$105,MATCH(B40,'3 Critical Apps'!$A$6:$A$105,0))="","",INDEX('3 Critical Apps'!$J$6:$J$105,MATCH(B40,'3 Critical Apps'!$A$6:$A$105,0))),""))</f>
        <v/>
      </c>
      <c r="D40" s="41" t="str">
        <f aca="false">IF(B40="","",IFERROR(IF(INDEX('3 Critical Apps'!$I$6:$I$105,MATCH(B40,'3 Critical Apps'!$A$6:$A$105,0))="","",INDEX('3 Critical Apps'!$I$6:$I$105,MATCH(B40,'3 Critical Apps'!$A$6:$A$105,0))),""))</f>
        <v/>
      </c>
      <c r="E40" s="39"/>
      <c r="F40" s="39"/>
      <c r="G40" s="39"/>
      <c r="H40" s="40"/>
      <c r="I40" s="41" t="str">
        <f aca="false">IF(OR(C40="",H40=""),"",IF(H40&gt;C40,"GAP","OK"))</f>
        <v/>
      </c>
      <c r="J40" s="40"/>
      <c r="K40" s="39"/>
      <c r="L40" s="39"/>
      <c r="M40" s="39"/>
      <c r="N40" s="39"/>
      <c r="O40" s="39"/>
      <c r="P40" s="39"/>
      <c r="Q40" s="39"/>
      <c r="R40" s="43"/>
      <c r="S40" s="41" t="str">
        <f aca="true">IF(A40="","",IF(R40="","NEVER TESTED",IF(TODAY()-R40&gt;RestoreTestMaxDays,"STALE","CURRENT")))</f>
        <v/>
      </c>
      <c r="T40" s="40"/>
      <c r="U40" s="41" t="str">
        <f aca="false">IF(OR(D40="",T40=""),"",IF(T40&gt;D40,"GAP","OK"))</f>
        <v/>
      </c>
      <c r="V40" s="39"/>
    </row>
    <row r="41" customFormat="false" ht="15" hidden="false" customHeight="false" outlineLevel="0" collapsed="false">
      <c r="A41" s="39"/>
      <c r="B41" s="39"/>
      <c r="C41" s="41" t="str">
        <f aca="false">IF(B41="","",IFERROR(IF(INDEX('3 Critical Apps'!$J$6:$J$105,MATCH(B41,'3 Critical Apps'!$A$6:$A$105,0))="","",INDEX('3 Critical Apps'!$J$6:$J$105,MATCH(B41,'3 Critical Apps'!$A$6:$A$105,0))),""))</f>
        <v/>
      </c>
      <c r="D41" s="41" t="str">
        <f aca="false">IF(B41="","",IFERROR(IF(INDEX('3 Critical Apps'!$I$6:$I$105,MATCH(B41,'3 Critical Apps'!$A$6:$A$105,0))="","",INDEX('3 Critical Apps'!$I$6:$I$105,MATCH(B41,'3 Critical Apps'!$A$6:$A$105,0))),""))</f>
        <v/>
      </c>
      <c r="E41" s="39"/>
      <c r="F41" s="39"/>
      <c r="G41" s="39"/>
      <c r="H41" s="40"/>
      <c r="I41" s="41" t="str">
        <f aca="false">IF(OR(C41="",H41=""),"",IF(H41&gt;C41,"GAP","OK"))</f>
        <v/>
      </c>
      <c r="J41" s="40"/>
      <c r="K41" s="39"/>
      <c r="L41" s="39"/>
      <c r="M41" s="39"/>
      <c r="N41" s="39"/>
      <c r="O41" s="39"/>
      <c r="P41" s="39"/>
      <c r="Q41" s="39"/>
      <c r="R41" s="43"/>
      <c r="S41" s="41" t="str">
        <f aca="true">IF(A41="","",IF(R41="","NEVER TESTED",IF(TODAY()-R41&gt;RestoreTestMaxDays,"STALE","CURRENT")))</f>
        <v/>
      </c>
      <c r="T41" s="40"/>
      <c r="U41" s="41" t="str">
        <f aca="false">IF(OR(D41="",T41=""),"",IF(T41&gt;D41,"GAP","OK"))</f>
        <v/>
      </c>
      <c r="V41" s="39"/>
    </row>
    <row r="42" customFormat="false" ht="15" hidden="false" customHeight="false" outlineLevel="0" collapsed="false">
      <c r="A42" s="39"/>
      <c r="B42" s="39"/>
      <c r="C42" s="41" t="str">
        <f aca="false">IF(B42="","",IFERROR(IF(INDEX('3 Critical Apps'!$J$6:$J$105,MATCH(B42,'3 Critical Apps'!$A$6:$A$105,0))="","",INDEX('3 Critical Apps'!$J$6:$J$105,MATCH(B42,'3 Critical Apps'!$A$6:$A$105,0))),""))</f>
        <v/>
      </c>
      <c r="D42" s="41" t="str">
        <f aca="false">IF(B42="","",IFERROR(IF(INDEX('3 Critical Apps'!$I$6:$I$105,MATCH(B42,'3 Critical Apps'!$A$6:$A$105,0))="","",INDEX('3 Critical Apps'!$I$6:$I$105,MATCH(B42,'3 Critical Apps'!$A$6:$A$105,0))),""))</f>
        <v/>
      </c>
      <c r="E42" s="39"/>
      <c r="F42" s="39"/>
      <c r="G42" s="39"/>
      <c r="H42" s="40"/>
      <c r="I42" s="41" t="str">
        <f aca="false">IF(OR(C42="",H42=""),"",IF(H42&gt;C42,"GAP","OK"))</f>
        <v/>
      </c>
      <c r="J42" s="40"/>
      <c r="K42" s="39"/>
      <c r="L42" s="39"/>
      <c r="M42" s="39"/>
      <c r="N42" s="39"/>
      <c r="O42" s="39"/>
      <c r="P42" s="39"/>
      <c r="Q42" s="39"/>
      <c r="R42" s="43"/>
      <c r="S42" s="41" t="str">
        <f aca="true">IF(A42="","",IF(R42="","NEVER TESTED",IF(TODAY()-R42&gt;RestoreTestMaxDays,"STALE","CURRENT")))</f>
        <v/>
      </c>
      <c r="T42" s="40"/>
      <c r="U42" s="41" t="str">
        <f aca="false">IF(OR(D42="",T42=""),"",IF(T42&gt;D42,"GAP","OK"))</f>
        <v/>
      </c>
      <c r="V42" s="39"/>
    </row>
    <row r="43" customFormat="false" ht="15" hidden="false" customHeight="false" outlineLevel="0" collapsed="false">
      <c r="A43" s="39"/>
      <c r="B43" s="39"/>
      <c r="C43" s="41" t="str">
        <f aca="false">IF(B43="","",IFERROR(IF(INDEX('3 Critical Apps'!$J$6:$J$105,MATCH(B43,'3 Critical Apps'!$A$6:$A$105,0))="","",INDEX('3 Critical Apps'!$J$6:$J$105,MATCH(B43,'3 Critical Apps'!$A$6:$A$105,0))),""))</f>
        <v/>
      </c>
      <c r="D43" s="41" t="str">
        <f aca="false">IF(B43="","",IFERROR(IF(INDEX('3 Critical Apps'!$I$6:$I$105,MATCH(B43,'3 Critical Apps'!$A$6:$A$105,0))="","",INDEX('3 Critical Apps'!$I$6:$I$105,MATCH(B43,'3 Critical Apps'!$A$6:$A$105,0))),""))</f>
        <v/>
      </c>
      <c r="E43" s="39"/>
      <c r="F43" s="39"/>
      <c r="G43" s="39"/>
      <c r="H43" s="40"/>
      <c r="I43" s="41" t="str">
        <f aca="false">IF(OR(C43="",H43=""),"",IF(H43&gt;C43,"GAP","OK"))</f>
        <v/>
      </c>
      <c r="J43" s="40"/>
      <c r="K43" s="39"/>
      <c r="L43" s="39"/>
      <c r="M43" s="39"/>
      <c r="N43" s="39"/>
      <c r="O43" s="39"/>
      <c r="P43" s="39"/>
      <c r="Q43" s="39"/>
      <c r="R43" s="43"/>
      <c r="S43" s="41" t="str">
        <f aca="true">IF(A43="","",IF(R43="","NEVER TESTED",IF(TODAY()-R43&gt;RestoreTestMaxDays,"STALE","CURRENT")))</f>
        <v/>
      </c>
      <c r="T43" s="40"/>
      <c r="U43" s="41" t="str">
        <f aca="false">IF(OR(D43="",T43=""),"",IF(T43&gt;D43,"GAP","OK"))</f>
        <v/>
      </c>
      <c r="V43" s="39"/>
    </row>
    <row r="44" customFormat="false" ht="15" hidden="false" customHeight="false" outlineLevel="0" collapsed="false">
      <c r="A44" s="39"/>
      <c r="B44" s="39"/>
      <c r="C44" s="41" t="str">
        <f aca="false">IF(B44="","",IFERROR(IF(INDEX('3 Critical Apps'!$J$6:$J$105,MATCH(B44,'3 Critical Apps'!$A$6:$A$105,0))="","",INDEX('3 Critical Apps'!$J$6:$J$105,MATCH(B44,'3 Critical Apps'!$A$6:$A$105,0))),""))</f>
        <v/>
      </c>
      <c r="D44" s="41" t="str">
        <f aca="false">IF(B44="","",IFERROR(IF(INDEX('3 Critical Apps'!$I$6:$I$105,MATCH(B44,'3 Critical Apps'!$A$6:$A$105,0))="","",INDEX('3 Critical Apps'!$I$6:$I$105,MATCH(B44,'3 Critical Apps'!$A$6:$A$105,0))),""))</f>
        <v/>
      </c>
      <c r="E44" s="39"/>
      <c r="F44" s="39"/>
      <c r="G44" s="39"/>
      <c r="H44" s="40"/>
      <c r="I44" s="41" t="str">
        <f aca="false">IF(OR(C44="",H44=""),"",IF(H44&gt;C44,"GAP","OK"))</f>
        <v/>
      </c>
      <c r="J44" s="40"/>
      <c r="K44" s="39"/>
      <c r="L44" s="39"/>
      <c r="M44" s="39"/>
      <c r="N44" s="39"/>
      <c r="O44" s="39"/>
      <c r="P44" s="39"/>
      <c r="Q44" s="39"/>
      <c r="R44" s="43"/>
      <c r="S44" s="41" t="str">
        <f aca="true">IF(A44="","",IF(R44="","NEVER TESTED",IF(TODAY()-R44&gt;RestoreTestMaxDays,"STALE","CURRENT")))</f>
        <v/>
      </c>
      <c r="T44" s="40"/>
      <c r="U44" s="41" t="str">
        <f aca="false">IF(OR(D44="",T44=""),"",IF(T44&gt;D44,"GAP","OK"))</f>
        <v/>
      </c>
      <c r="V44" s="39"/>
    </row>
    <row r="45" customFormat="false" ht="15" hidden="false" customHeight="false" outlineLevel="0" collapsed="false">
      <c r="A45" s="39"/>
      <c r="B45" s="39"/>
      <c r="C45" s="41" t="str">
        <f aca="false">IF(B45="","",IFERROR(IF(INDEX('3 Critical Apps'!$J$6:$J$105,MATCH(B45,'3 Critical Apps'!$A$6:$A$105,0))="","",INDEX('3 Critical Apps'!$J$6:$J$105,MATCH(B45,'3 Critical Apps'!$A$6:$A$105,0))),""))</f>
        <v/>
      </c>
      <c r="D45" s="41" t="str">
        <f aca="false">IF(B45="","",IFERROR(IF(INDEX('3 Critical Apps'!$I$6:$I$105,MATCH(B45,'3 Critical Apps'!$A$6:$A$105,0))="","",INDEX('3 Critical Apps'!$I$6:$I$105,MATCH(B45,'3 Critical Apps'!$A$6:$A$105,0))),""))</f>
        <v/>
      </c>
      <c r="E45" s="39"/>
      <c r="F45" s="39"/>
      <c r="G45" s="39"/>
      <c r="H45" s="40"/>
      <c r="I45" s="41" t="str">
        <f aca="false">IF(OR(C45="",H45=""),"",IF(H45&gt;C45,"GAP","OK"))</f>
        <v/>
      </c>
      <c r="J45" s="40"/>
      <c r="K45" s="39"/>
      <c r="L45" s="39"/>
      <c r="M45" s="39"/>
      <c r="N45" s="39"/>
      <c r="O45" s="39"/>
      <c r="P45" s="39"/>
      <c r="Q45" s="39"/>
      <c r="R45" s="43"/>
      <c r="S45" s="41" t="str">
        <f aca="true">IF(A45="","",IF(R45="","NEVER TESTED",IF(TODAY()-R45&gt;RestoreTestMaxDays,"STALE","CURRENT")))</f>
        <v/>
      </c>
      <c r="T45" s="40"/>
      <c r="U45" s="41" t="str">
        <f aca="false">IF(OR(D45="",T45=""),"",IF(T45&gt;D45,"GAP","OK"))</f>
        <v/>
      </c>
      <c r="V45" s="39"/>
    </row>
    <row r="46" customFormat="false" ht="15" hidden="false" customHeight="false" outlineLevel="0" collapsed="false">
      <c r="A46" s="39"/>
      <c r="B46" s="39"/>
      <c r="C46" s="41" t="str">
        <f aca="false">IF(B46="","",IFERROR(IF(INDEX('3 Critical Apps'!$J$6:$J$105,MATCH(B46,'3 Critical Apps'!$A$6:$A$105,0))="","",INDEX('3 Critical Apps'!$J$6:$J$105,MATCH(B46,'3 Critical Apps'!$A$6:$A$105,0))),""))</f>
        <v/>
      </c>
      <c r="D46" s="41" t="str">
        <f aca="false">IF(B46="","",IFERROR(IF(INDEX('3 Critical Apps'!$I$6:$I$105,MATCH(B46,'3 Critical Apps'!$A$6:$A$105,0))="","",INDEX('3 Critical Apps'!$I$6:$I$105,MATCH(B46,'3 Critical Apps'!$A$6:$A$105,0))),""))</f>
        <v/>
      </c>
      <c r="E46" s="39"/>
      <c r="F46" s="39"/>
      <c r="G46" s="39"/>
      <c r="H46" s="40"/>
      <c r="I46" s="41" t="str">
        <f aca="false">IF(OR(C46="",H46=""),"",IF(H46&gt;C46,"GAP","OK"))</f>
        <v/>
      </c>
      <c r="J46" s="40"/>
      <c r="K46" s="39"/>
      <c r="L46" s="39"/>
      <c r="M46" s="39"/>
      <c r="N46" s="39"/>
      <c r="O46" s="39"/>
      <c r="P46" s="39"/>
      <c r="Q46" s="39"/>
      <c r="R46" s="43"/>
      <c r="S46" s="41" t="str">
        <f aca="true">IF(A46="","",IF(R46="","NEVER TESTED",IF(TODAY()-R46&gt;RestoreTestMaxDays,"STALE","CURRENT")))</f>
        <v/>
      </c>
      <c r="T46" s="40"/>
      <c r="U46" s="41" t="str">
        <f aca="false">IF(OR(D46="",T46=""),"",IF(T46&gt;D46,"GAP","OK"))</f>
        <v/>
      </c>
      <c r="V46" s="39"/>
    </row>
    <row r="47" customFormat="false" ht="15" hidden="false" customHeight="false" outlineLevel="0" collapsed="false">
      <c r="A47" s="39"/>
      <c r="B47" s="39"/>
      <c r="C47" s="41" t="str">
        <f aca="false">IF(B47="","",IFERROR(IF(INDEX('3 Critical Apps'!$J$6:$J$105,MATCH(B47,'3 Critical Apps'!$A$6:$A$105,0))="","",INDEX('3 Critical Apps'!$J$6:$J$105,MATCH(B47,'3 Critical Apps'!$A$6:$A$105,0))),""))</f>
        <v/>
      </c>
      <c r="D47" s="41" t="str">
        <f aca="false">IF(B47="","",IFERROR(IF(INDEX('3 Critical Apps'!$I$6:$I$105,MATCH(B47,'3 Critical Apps'!$A$6:$A$105,0))="","",INDEX('3 Critical Apps'!$I$6:$I$105,MATCH(B47,'3 Critical Apps'!$A$6:$A$105,0))),""))</f>
        <v/>
      </c>
      <c r="E47" s="39"/>
      <c r="F47" s="39"/>
      <c r="G47" s="39"/>
      <c r="H47" s="40"/>
      <c r="I47" s="41" t="str">
        <f aca="false">IF(OR(C47="",H47=""),"",IF(H47&gt;C47,"GAP","OK"))</f>
        <v/>
      </c>
      <c r="J47" s="40"/>
      <c r="K47" s="39"/>
      <c r="L47" s="39"/>
      <c r="M47" s="39"/>
      <c r="N47" s="39"/>
      <c r="O47" s="39"/>
      <c r="P47" s="39"/>
      <c r="Q47" s="39"/>
      <c r="R47" s="43"/>
      <c r="S47" s="41" t="str">
        <f aca="true">IF(A47="","",IF(R47="","NEVER TESTED",IF(TODAY()-R47&gt;RestoreTestMaxDays,"STALE","CURRENT")))</f>
        <v/>
      </c>
      <c r="T47" s="40"/>
      <c r="U47" s="41" t="str">
        <f aca="false">IF(OR(D47="",T47=""),"",IF(T47&gt;D47,"GAP","OK"))</f>
        <v/>
      </c>
      <c r="V47" s="39"/>
    </row>
    <row r="48" customFormat="false" ht="15" hidden="false" customHeight="false" outlineLevel="0" collapsed="false">
      <c r="A48" s="39"/>
      <c r="B48" s="39"/>
      <c r="C48" s="41" t="str">
        <f aca="false">IF(B48="","",IFERROR(IF(INDEX('3 Critical Apps'!$J$6:$J$105,MATCH(B48,'3 Critical Apps'!$A$6:$A$105,0))="","",INDEX('3 Critical Apps'!$J$6:$J$105,MATCH(B48,'3 Critical Apps'!$A$6:$A$105,0))),""))</f>
        <v/>
      </c>
      <c r="D48" s="41" t="str">
        <f aca="false">IF(B48="","",IFERROR(IF(INDEX('3 Critical Apps'!$I$6:$I$105,MATCH(B48,'3 Critical Apps'!$A$6:$A$105,0))="","",INDEX('3 Critical Apps'!$I$6:$I$105,MATCH(B48,'3 Critical Apps'!$A$6:$A$105,0))),""))</f>
        <v/>
      </c>
      <c r="E48" s="39"/>
      <c r="F48" s="39"/>
      <c r="G48" s="39"/>
      <c r="H48" s="40"/>
      <c r="I48" s="41" t="str">
        <f aca="false">IF(OR(C48="",H48=""),"",IF(H48&gt;C48,"GAP","OK"))</f>
        <v/>
      </c>
      <c r="J48" s="40"/>
      <c r="K48" s="39"/>
      <c r="L48" s="39"/>
      <c r="M48" s="39"/>
      <c r="N48" s="39"/>
      <c r="O48" s="39"/>
      <c r="P48" s="39"/>
      <c r="Q48" s="39"/>
      <c r="R48" s="43"/>
      <c r="S48" s="41" t="str">
        <f aca="true">IF(A48="","",IF(R48="","NEVER TESTED",IF(TODAY()-R48&gt;RestoreTestMaxDays,"STALE","CURRENT")))</f>
        <v/>
      </c>
      <c r="T48" s="40"/>
      <c r="U48" s="41" t="str">
        <f aca="false">IF(OR(D48="",T48=""),"",IF(T48&gt;D48,"GAP","OK"))</f>
        <v/>
      </c>
      <c r="V48" s="39"/>
    </row>
    <row r="49" customFormat="false" ht="15" hidden="false" customHeight="false" outlineLevel="0" collapsed="false">
      <c r="A49" s="39"/>
      <c r="B49" s="39"/>
      <c r="C49" s="41" t="str">
        <f aca="false">IF(B49="","",IFERROR(IF(INDEX('3 Critical Apps'!$J$6:$J$105,MATCH(B49,'3 Critical Apps'!$A$6:$A$105,0))="","",INDEX('3 Critical Apps'!$J$6:$J$105,MATCH(B49,'3 Critical Apps'!$A$6:$A$105,0))),""))</f>
        <v/>
      </c>
      <c r="D49" s="41" t="str">
        <f aca="false">IF(B49="","",IFERROR(IF(INDEX('3 Critical Apps'!$I$6:$I$105,MATCH(B49,'3 Critical Apps'!$A$6:$A$105,0))="","",INDEX('3 Critical Apps'!$I$6:$I$105,MATCH(B49,'3 Critical Apps'!$A$6:$A$105,0))),""))</f>
        <v/>
      </c>
      <c r="E49" s="39"/>
      <c r="F49" s="39"/>
      <c r="G49" s="39"/>
      <c r="H49" s="40"/>
      <c r="I49" s="41" t="str">
        <f aca="false">IF(OR(C49="",H49=""),"",IF(H49&gt;C49,"GAP","OK"))</f>
        <v/>
      </c>
      <c r="J49" s="40"/>
      <c r="K49" s="39"/>
      <c r="L49" s="39"/>
      <c r="M49" s="39"/>
      <c r="N49" s="39"/>
      <c r="O49" s="39"/>
      <c r="P49" s="39"/>
      <c r="Q49" s="39"/>
      <c r="R49" s="43"/>
      <c r="S49" s="41" t="str">
        <f aca="true">IF(A49="","",IF(R49="","NEVER TESTED",IF(TODAY()-R49&gt;RestoreTestMaxDays,"STALE","CURRENT")))</f>
        <v/>
      </c>
      <c r="T49" s="40"/>
      <c r="U49" s="41" t="str">
        <f aca="false">IF(OR(D49="",T49=""),"",IF(T49&gt;D49,"GAP","OK"))</f>
        <v/>
      </c>
      <c r="V49" s="39"/>
    </row>
    <row r="50" customFormat="false" ht="15" hidden="false" customHeight="false" outlineLevel="0" collapsed="false">
      <c r="A50" s="39"/>
      <c r="B50" s="39"/>
      <c r="C50" s="41" t="str">
        <f aca="false">IF(B50="","",IFERROR(IF(INDEX('3 Critical Apps'!$J$6:$J$105,MATCH(B50,'3 Critical Apps'!$A$6:$A$105,0))="","",INDEX('3 Critical Apps'!$J$6:$J$105,MATCH(B50,'3 Critical Apps'!$A$6:$A$105,0))),""))</f>
        <v/>
      </c>
      <c r="D50" s="41" t="str">
        <f aca="false">IF(B50="","",IFERROR(IF(INDEX('3 Critical Apps'!$I$6:$I$105,MATCH(B50,'3 Critical Apps'!$A$6:$A$105,0))="","",INDEX('3 Critical Apps'!$I$6:$I$105,MATCH(B50,'3 Critical Apps'!$A$6:$A$105,0))),""))</f>
        <v/>
      </c>
      <c r="E50" s="39"/>
      <c r="F50" s="39"/>
      <c r="G50" s="39"/>
      <c r="H50" s="40"/>
      <c r="I50" s="41" t="str">
        <f aca="false">IF(OR(C50="",H50=""),"",IF(H50&gt;C50,"GAP","OK"))</f>
        <v/>
      </c>
      <c r="J50" s="40"/>
      <c r="K50" s="39"/>
      <c r="L50" s="39"/>
      <c r="M50" s="39"/>
      <c r="N50" s="39"/>
      <c r="O50" s="39"/>
      <c r="P50" s="39"/>
      <c r="Q50" s="39"/>
      <c r="R50" s="43"/>
      <c r="S50" s="41" t="str">
        <f aca="true">IF(A50="","",IF(R50="","NEVER TESTED",IF(TODAY()-R50&gt;RestoreTestMaxDays,"STALE","CURRENT")))</f>
        <v/>
      </c>
      <c r="T50" s="40"/>
      <c r="U50" s="41" t="str">
        <f aca="false">IF(OR(D50="",T50=""),"",IF(T50&gt;D50,"GAP","OK"))</f>
        <v/>
      </c>
      <c r="V50" s="39"/>
    </row>
    <row r="51" customFormat="false" ht="15" hidden="false" customHeight="false" outlineLevel="0" collapsed="false">
      <c r="A51" s="39"/>
      <c r="B51" s="39"/>
      <c r="C51" s="41" t="str">
        <f aca="false">IF(B51="","",IFERROR(IF(INDEX('3 Critical Apps'!$J$6:$J$105,MATCH(B51,'3 Critical Apps'!$A$6:$A$105,0))="","",INDEX('3 Critical Apps'!$J$6:$J$105,MATCH(B51,'3 Critical Apps'!$A$6:$A$105,0))),""))</f>
        <v/>
      </c>
      <c r="D51" s="41" t="str">
        <f aca="false">IF(B51="","",IFERROR(IF(INDEX('3 Critical Apps'!$I$6:$I$105,MATCH(B51,'3 Critical Apps'!$A$6:$A$105,0))="","",INDEX('3 Critical Apps'!$I$6:$I$105,MATCH(B51,'3 Critical Apps'!$A$6:$A$105,0))),""))</f>
        <v/>
      </c>
      <c r="E51" s="39"/>
      <c r="F51" s="39"/>
      <c r="G51" s="39"/>
      <c r="H51" s="40"/>
      <c r="I51" s="41" t="str">
        <f aca="false">IF(OR(C51="",H51=""),"",IF(H51&gt;C51,"GAP","OK"))</f>
        <v/>
      </c>
      <c r="J51" s="40"/>
      <c r="K51" s="39"/>
      <c r="L51" s="39"/>
      <c r="M51" s="39"/>
      <c r="N51" s="39"/>
      <c r="O51" s="39"/>
      <c r="P51" s="39"/>
      <c r="Q51" s="39"/>
      <c r="R51" s="43"/>
      <c r="S51" s="41" t="str">
        <f aca="true">IF(A51="","",IF(R51="","NEVER TESTED",IF(TODAY()-R51&gt;RestoreTestMaxDays,"STALE","CURRENT")))</f>
        <v/>
      </c>
      <c r="T51" s="40"/>
      <c r="U51" s="41" t="str">
        <f aca="false">IF(OR(D51="",T51=""),"",IF(T51&gt;D51,"GAP","OK"))</f>
        <v/>
      </c>
      <c r="V51" s="39"/>
    </row>
    <row r="52" customFormat="false" ht="15" hidden="false" customHeight="false" outlineLevel="0" collapsed="false">
      <c r="A52" s="39"/>
      <c r="B52" s="39"/>
      <c r="C52" s="41" t="str">
        <f aca="false">IF(B52="","",IFERROR(IF(INDEX('3 Critical Apps'!$J$6:$J$105,MATCH(B52,'3 Critical Apps'!$A$6:$A$105,0))="","",INDEX('3 Critical Apps'!$J$6:$J$105,MATCH(B52,'3 Critical Apps'!$A$6:$A$105,0))),""))</f>
        <v/>
      </c>
      <c r="D52" s="41" t="str">
        <f aca="false">IF(B52="","",IFERROR(IF(INDEX('3 Critical Apps'!$I$6:$I$105,MATCH(B52,'3 Critical Apps'!$A$6:$A$105,0))="","",INDEX('3 Critical Apps'!$I$6:$I$105,MATCH(B52,'3 Critical Apps'!$A$6:$A$105,0))),""))</f>
        <v/>
      </c>
      <c r="E52" s="39"/>
      <c r="F52" s="39"/>
      <c r="G52" s="39"/>
      <c r="H52" s="40"/>
      <c r="I52" s="41" t="str">
        <f aca="false">IF(OR(C52="",H52=""),"",IF(H52&gt;C52,"GAP","OK"))</f>
        <v/>
      </c>
      <c r="J52" s="40"/>
      <c r="K52" s="39"/>
      <c r="L52" s="39"/>
      <c r="M52" s="39"/>
      <c r="N52" s="39"/>
      <c r="O52" s="39"/>
      <c r="P52" s="39"/>
      <c r="Q52" s="39"/>
      <c r="R52" s="43"/>
      <c r="S52" s="41" t="str">
        <f aca="true">IF(A52="","",IF(R52="","NEVER TESTED",IF(TODAY()-R52&gt;RestoreTestMaxDays,"STALE","CURRENT")))</f>
        <v/>
      </c>
      <c r="T52" s="40"/>
      <c r="U52" s="41" t="str">
        <f aca="false">IF(OR(D52="",T52=""),"",IF(T52&gt;D52,"GAP","OK"))</f>
        <v/>
      </c>
      <c r="V52" s="39"/>
    </row>
    <row r="53" customFormat="false" ht="15" hidden="false" customHeight="false" outlineLevel="0" collapsed="false">
      <c r="A53" s="39"/>
      <c r="B53" s="39"/>
      <c r="C53" s="41" t="str">
        <f aca="false">IF(B53="","",IFERROR(IF(INDEX('3 Critical Apps'!$J$6:$J$105,MATCH(B53,'3 Critical Apps'!$A$6:$A$105,0))="","",INDEX('3 Critical Apps'!$J$6:$J$105,MATCH(B53,'3 Critical Apps'!$A$6:$A$105,0))),""))</f>
        <v/>
      </c>
      <c r="D53" s="41" t="str">
        <f aca="false">IF(B53="","",IFERROR(IF(INDEX('3 Critical Apps'!$I$6:$I$105,MATCH(B53,'3 Critical Apps'!$A$6:$A$105,0))="","",INDEX('3 Critical Apps'!$I$6:$I$105,MATCH(B53,'3 Critical Apps'!$A$6:$A$105,0))),""))</f>
        <v/>
      </c>
      <c r="E53" s="39"/>
      <c r="F53" s="39"/>
      <c r="G53" s="39"/>
      <c r="H53" s="40"/>
      <c r="I53" s="41" t="str">
        <f aca="false">IF(OR(C53="",H53=""),"",IF(H53&gt;C53,"GAP","OK"))</f>
        <v/>
      </c>
      <c r="J53" s="40"/>
      <c r="K53" s="39"/>
      <c r="L53" s="39"/>
      <c r="M53" s="39"/>
      <c r="N53" s="39"/>
      <c r="O53" s="39"/>
      <c r="P53" s="39"/>
      <c r="Q53" s="39"/>
      <c r="R53" s="43"/>
      <c r="S53" s="41" t="str">
        <f aca="true">IF(A53="","",IF(R53="","NEVER TESTED",IF(TODAY()-R53&gt;RestoreTestMaxDays,"STALE","CURRENT")))</f>
        <v/>
      </c>
      <c r="T53" s="40"/>
      <c r="U53" s="41" t="str">
        <f aca="false">IF(OR(D53="",T53=""),"",IF(T53&gt;D53,"GAP","OK"))</f>
        <v/>
      </c>
      <c r="V53" s="39"/>
    </row>
    <row r="54" customFormat="false" ht="15" hidden="false" customHeight="false" outlineLevel="0" collapsed="false">
      <c r="A54" s="39"/>
      <c r="B54" s="39"/>
      <c r="C54" s="41" t="str">
        <f aca="false">IF(B54="","",IFERROR(IF(INDEX('3 Critical Apps'!$J$6:$J$105,MATCH(B54,'3 Critical Apps'!$A$6:$A$105,0))="","",INDEX('3 Critical Apps'!$J$6:$J$105,MATCH(B54,'3 Critical Apps'!$A$6:$A$105,0))),""))</f>
        <v/>
      </c>
      <c r="D54" s="41" t="str">
        <f aca="false">IF(B54="","",IFERROR(IF(INDEX('3 Critical Apps'!$I$6:$I$105,MATCH(B54,'3 Critical Apps'!$A$6:$A$105,0))="","",INDEX('3 Critical Apps'!$I$6:$I$105,MATCH(B54,'3 Critical Apps'!$A$6:$A$105,0))),""))</f>
        <v/>
      </c>
      <c r="E54" s="39"/>
      <c r="F54" s="39"/>
      <c r="G54" s="39"/>
      <c r="H54" s="40"/>
      <c r="I54" s="41" t="str">
        <f aca="false">IF(OR(C54="",H54=""),"",IF(H54&gt;C54,"GAP","OK"))</f>
        <v/>
      </c>
      <c r="J54" s="40"/>
      <c r="K54" s="39"/>
      <c r="L54" s="39"/>
      <c r="M54" s="39"/>
      <c r="N54" s="39"/>
      <c r="O54" s="39"/>
      <c r="P54" s="39"/>
      <c r="Q54" s="39"/>
      <c r="R54" s="43"/>
      <c r="S54" s="41" t="str">
        <f aca="true">IF(A54="","",IF(R54="","NEVER TESTED",IF(TODAY()-R54&gt;RestoreTestMaxDays,"STALE","CURRENT")))</f>
        <v/>
      </c>
      <c r="T54" s="40"/>
      <c r="U54" s="41" t="str">
        <f aca="false">IF(OR(D54="",T54=""),"",IF(T54&gt;D54,"GAP","OK"))</f>
        <v/>
      </c>
      <c r="V54" s="39"/>
    </row>
    <row r="55" customFormat="false" ht="15" hidden="false" customHeight="false" outlineLevel="0" collapsed="false">
      <c r="A55" s="39"/>
      <c r="B55" s="39"/>
      <c r="C55" s="41" t="str">
        <f aca="false">IF(B55="","",IFERROR(IF(INDEX('3 Critical Apps'!$J$6:$J$105,MATCH(B55,'3 Critical Apps'!$A$6:$A$105,0))="","",INDEX('3 Critical Apps'!$J$6:$J$105,MATCH(B55,'3 Critical Apps'!$A$6:$A$105,0))),""))</f>
        <v/>
      </c>
      <c r="D55" s="41" t="str">
        <f aca="false">IF(B55="","",IFERROR(IF(INDEX('3 Critical Apps'!$I$6:$I$105,MATCH(B55,'3 Critical Apps'!$A$6:$A$105,0))="","",INDEX('3 Critical Apps'!$I$6:$I$105,MATCH(B55,'3 Critical Apps'!$A$6:$A$105,0))),""))</f>
        <v/>
      </c>
      <c r="E55" s="39"/>
      <c r="F55" s="39"/>
      <c r="G55" s="39"/>
      <c r="H55" s="40"/>
      <c r="I55" s="41" t="str">
        <f aca="false">IF(OR(C55="",H55=""),"",IF(H55&gt;C55,"GAP","OK"))</f>
        <v/>
      </c>
      <c r="J55" s="40"/>
      <c r="K55" s="39"/>
      <c r="L55" s="39"/>
      <c r="M55" s="39"/>
      <c r="N55" s="39"/>
      <c r="O55" s="39"/>
      <c r="P55" s="39"/>
      <c r="Q55" s="39"/>
      <c r="R55" s="43"/>
      <c r="S55" s="41" t="str">
        <f aca="true">IF(A55="","",IF(R55="","NEVER TESTED",IF(TODAY()-R55&gt;RestoreTestMaxDays,"STALE","CURRENT")))</f>
        <v/>
      </c>
      <c r="T55" s="40"/>
      <c r="U55" s="41" t="str">
        <f aca="false">IF(OR(D55="",T55=""),"",IF(T55&gt;D55,"GAP","OK"))</f>
        <v/>
      </c>
      <c r="V55" s="39"/>
    </row>
    <row r="56" customFormat="false" ht="15" hidden="false" customHeight="false" outlineLevel="0" collapsed="false">
      <c r="A56" s="39"/>
      <c r="B56" s="39"/>
      <c r="C56" s="41" t="str">
        <f aca="false">IF(B56="","",IFERROR(IF(INDEX('3 Critical Apps'!$J$6:$J$105,MATCH(B56,'3 Critical Apps'!$A$6:$A$105,0))="","",INDEX('3 Critical Apps'!$J$6:$J$105,MATCH(B56,'3 Critical Apps'!$A$6:$A$105,0))),""))</f>
        <v/>
      </c>
      <c r="D56" s="41" t="str">
        <f aca="false">IF(B56="","",IFERROR(IF(INDEX('3 Critical Apps'!$I$6:$I$105,MATCH(B56,'3 Critical Apps'!$A$6:$A$105,0))="","",INDEX('3 Critical Apps'!$I$6:$I$105,MATCH(B56,'3 Critical Apps'!$A$6:$A$105,0))),""))</f>
        <v/>
      </c>
      <c r="E56" s="39"/>
      <c r="F56" s="39"/>
      <c r="G56" s="39"/>
      <c r="H56" s="40"/>
      <c r="I56" s="41" t="str">
        <f aca="false">IF(OR(C56="",H56=""),"",IF(H56&gt;C56,"GAP","OK"))</f>
        <v/>
      </c>
      <c r="J56" s="40"/>
      <c r="K56" s="39"/>
      <c r="L56" s="39"/>
      <c r="M56" s="39"/>
      <c r="N56" s="39"/>
      <c r="O56" s="39"/>
      <c r="P56" s="39"/>
      <c r="Q56" s="39"/>
      <c r="R56" s="43"/>
      <c r="S56" s="41" t="str">
        <f aca="true">IF(A56="","",IF(R56="","NEVER TESTED",IF(TODAY()-R56&gt;RestoreTestMaxDays,"STALE","CURRENT")))</f>
        <v/>
      </c>
      <c r="T56" s="40"/>
      <c r="U56" s="41" t="str">
        <f aca="false">IF(OR(D56="",T56=""),"",IF(T56&gt;D56,"GAP","OK"))</f>
        <v/>
      </c>
      <c r="V56" s="39"/>
    </row>
    <row r="57" customFormat="false" ht="15" hidden="false" customHeight="false" outlineLevel="0" collapsed="false">
      <c r="A57" s="39"/>
      <c r="B57" s="39"/>
      <c r="C57" s="41" t="str">
        <f aca="false">IF(B57="","",IFERROR(IF(INDEX('3 Critical Apps'!$J$6:$J$105,MATCH(B57,'3 Critical Apps'!$A$6:$A$105,0))="","",INDEX('3 Critical Apps'!$J$6:$J$105,MATCH(B57,'3 Critical Apps'!$A$6:$A$105,0))),""))</f>
        <v/>
      </c>
      <c r="D57" s="41" t="str">
        <f aca="false">IF(B57="","",IFERROR(IF(INDEX('3 Critical Apps'!$I$6:$I$105,MATCH(B57,'3 Critical Apps'!$A$6:$A$105,0))="","",INDEX('3 Critical Apps'!$I$6:$I$105,MATCH(B57,'3 Critical Apps'!$A$6:$A$105,0))),""))</f>
        <v/>
      </c>
      <c r="E57" s="39"/>
      <c r="F57" s="39"/>
      <c r="G57" s="39"/>
      <c r="H57" s="40"/>
      <c r="I57" s="41" t="str">
        <f aca="false">IF(OR(C57="",H57=""),"",IF(H57&gt;C57,"GAP","OK"))</f>
        <v/>
      </c>
      <c r="J57" s="40"/>
      <c r="K57" s="39"/>
      <c r="L57" s="39"/>
      <c r="M57" s="39"/>
      <c r="N57" s="39"/>
      <c r="O57" s="39"/>
      <c r="P57" s="39"/>
      <c r="Q57" s="39"/>
      <c r="R57" s="43"/>
      <c r="S57" s="41" t="str">
        <f aca="true">IF(A57="","",IF(R57="","NEVER TESTED",IF(TODAY()-R57&gt;RestoreTestMaxDays,"STALE","CURRENT")))</f>
        <v/>
      </c>
      <c r="T57" s="40"/>
      <c r="U57" s="41" t="str">
        <f aca="false">IF(OR(D57="",T57=""),"",IF(T57&gt;D57,"GAP","OK"))</f>
        <v/>
      </c>
      <c r="V57" s="39"/>
    </row>
    <row r="58" customFormat="false" ht="15" hidden="false" customHeight="false" outlineLevel="0" collapsed="false">
      <c r="A58" s="39"/>
      <c r="B58" s="39"/>
      <c r="C58" s="41" t="str">
        <f aca="false">IF(B58="","",IFERROR(IF(INDEX('3 Critical Apps'!$J$6:$J$105,MATCH(B58,'3 Critical Apps'!$A$6:$A$105,0))="","",INDEX('3 Critical Apps'!$J$6:$J$105,MATCH(B58,'3 Critical Apps'!$A$6:$A$105,0))),""))</f>
        <v/>
      </c>
      <c r="D58" s="41" t="str">
        <f aca="false">IF(B58="","",IFERROR(IF(INDEX('3 Critical Apps'!$I$6:$I$105,MATCH(B58,'3 Critical Apps'!$A$6:$A$105,0))="","",INDEX('3 Critical Apps'!$I$6:$I$105,MATCH(B58,'3 Critical Apps'!$A$6:$A$105,0))),""))</f>
        <v/>
      </c>
      <c r="E58" s="39"/>
      <c r="F58" s="39"/>
      <c r="G58" s="39"/>
      <c r="H58" s="40"/>
      <c r="I58" s="41" t="str">
        <f aca="false">IF(OR(C58="",H58=""),"",IF(H58&gt;C58,"GAP","OK"))</f>
        <v/>
      </c>
      <c r="J58" s="40"/>
      <c r="K58" s="39"/>
      <c r="L58" s="39"/>
      <c r="M58" s="39"/>
      <c r="N58" s="39"/>
      <c r="O58" s="39"/>
      <c r="P58" s="39"/>
      <c r="Q58" s="39"/>
      <c r="R58" s="43"/>
      <c r="S58" s="41" t="str">
        <f aca="true">IF(A58="","",IF(R58="","NEVER TESTED",IF(TODAY()-R58&gt;RestoreTestMaxDays,"STALE","CURRENT")))</f>
        <v/>
      </c>
      <c r="T58" s="40"/>
      <c r="U58" s="41" t="str">
        <f aca="false">IF(OR(D58="",T58=""),"",IF(T58&gt;D58,"GAP","OK"))</f>
        <v/>
      </c>
      <c r="V58" s="39"/>
    </row>
    <row r="59" customFormat="false" ht="15" hidden="false" customHeight="false" outlineLevel="0" collapsed="false">
      <c r="A59" s="39"/>
      <c r="B59" s="39"/>
      <c r="C59" s="41" t="str">
        <f aca="false">IF(B59="","",IFERROR(IF(INDEX('3 Critical Apps'!$J$6:$J$105,MATCH(B59,'3 Critical Apps'!$A$6:$A$105,0))="","",INDEX('3 Critical Apps'!$J$6:$J$105,MATCH(B59,'3 Critical Apps'!$A$6:$A$105,0))),""))</f>
        <v/>
      </c>
      <c r="D59" s="41" t="str">
        <f aca="false">IF(B59="","",IFERROR(IF(INDEX('3 Critical Apps'!$I$6:$I$105,MATCH(B59,'3 Critical Apps'!$A$6:$A$105,0))="","",INDEX('3 Critical Apps'!$I$6:$I$105,MATCH(B59,'3 Critical Apps'!$A$6:$A$105,0))),""))</f>
        <v/>
      </c>
      <c r="E59" s="39"/>
      <c r="F59" s="39"/>
      <c r="G59" s="39"/>
      <c r="H59" s="40"/>
      <c r="I59" s="41" t="str">
        <f aca="false">IF(OR(C59="",H59=""),"",IF(H59&gt;C59,"GAP","OK"))</f>
        <v/>
      </c>
      <c r="J59" s="40"/>
      <c r="K59" s="39"/>
      <c r="L59" s="39"/>
      <c r="M59" s="39"/>
      <c r="N59" s="39"/>
      <c r="O59" s="39"/>
      <c r="P59" s="39"/>
      <c r="Q59" s="39"/>
      <c r="R59" s="43"/>
      <c r="S59" s="41" t="str">
        <f aca="true">IF(A59="","",IF(R59="","NEVER TESTED",IF(TODAY()-R59&gt;RestoreTestMaxDays,"STALE","CURRENT")))</f>
        <v/>
      </c>
      <c r="T59" s="40"/>
      <c r="U59" s="41" t="str">
        <f aca="false">IF(OR(D59="",T59=""),"",IF(T59&gt;D59,"GAP","OK"))</f>
        <v/>
      </c>
      <c r="V59" s="39"/>
    </row>
    <row r="60" customFormat="false" ht="15" hidden="false" customHeight="false" outlineLevel="0" collapsed="false">
      <c r="A60" s="39"/>
      <c r="B60" s="39"/>
      <c r="C60" s="41" t="str">
        <f aca="false">IF(B60="","",IFERROR(IF(INDEX('3 Critical Apps'!$J$6:$J$105,MATCH(B60,'3 Critical Apps'!$A$6:$A$105,0))="","",INDEX('3 Critical Apps'!$J$6:$J$105,MATCH(B60,'3 Critical Apps'!$A$6:$A$105,0))),""))</f>
        <v/>
      </c>
      <c r="D60" s="41" t="str">
        <f aca="false">IF(B60="","",IFERROR(IF(INDEX('3 Critical Apps'!$I$6:$I$105,MATCH(B60,'3 Critical Apps'!$A$6:$A$105,0))="","",INDEX('3 Critical Apps'!$I$6:$I$105,MATCH(B60,'3 Critical Apps'!$A$6:$A$105,0))),""))</f>
        <v/>
      </c>
      <c r="E60" s="39"/>
      <c r="F60" s="39"/>
      <c r="G60" s="39"/>
      <c r="H60" s="40"/>
      <c r="I60" s="41" t="str">
        <f aca="false">IF(OR(C60="",H60=""),"",IF(H60&gt;C60,"GAP","OK"))</f>
        <v/>
      </c>
      <c r="J60" s="40"/>
      <c r="K60" s="39"/>
      <c r="L60" s="39"/>
      <c r="M60" s="39"/>
      <c r="N60" s="39"/>
      <c r="O60" s="39"/>
      <c r="P60" s="39"/>
      <c r="Q60" s="39"/>
      <c r="R60" s="43"/>
      <c r="S60" s="41" t="str">
        <f aca="true">IF(A60="","",IF(R60="","NEVER TESTED",IF(TODAY()-R60&gt;RestoreTestMaxDays,"STALE","CURRENT")))</f>
        <v/>
      </c>
      <c r="T60" s="40"/>
      <c r="U60" s="41" t="str">
        <f aca="false">IF(OR(D60="",T60=""),"",IF(T60&gt;D60,"GAP","OK"))</f>
        <v/>
      </c>
      <c r="V60" s="39"/>
    </row>
    <row r="61" customFormat="false" ht="15" hidden="false" customHeight="false" outlineLevel="0" collapsed="false">
      <c r="A61" s="39"/>
      <c r="B61" s="39"/>
      <c r="C61" s="41" t="str">
        <f aca="false">IF(B61="","",IFERROR(IF(INDEX('3 Critical Apps'!$J$6:$J$105,MATCH(B61,'3 Critical Apps'!$A$6:$A$105,0))="","",INDEX('3 Critical Apps'!$J$6:$J$105,MATCH(B61,'3 Critical Apps'!$A$6:$A$105,0))),""))</f>
        <v/>
      </c>
      <c r="D61" s="41" t="str">
        <f aca="false">IF(B61="","",IFERROR(IF(INDEX('3 Critical Apps'!$I$6:$I$105,MATCH(B61,'3 Critical Apps'!$A$6:$A$105,0))="","",INDEX('3 Critical Apps'!$I$6:$I$105,MATCH(B61,'3 Critical Apps'!$A$6:$A$105,0))),""))</f>
        <v/>
      </c>
      <c r="E61" s="39"/>
      <c r="F61" s="39"/>
      <c r="G61" s="39"/>
      <c r="H61" s="40"/>
      <c r="I61" s="41" t="str">
        <f aca="false">IF(OR(C61="",H61=""),"",IF(H61&gt;C61,"GAP","OK"))</f>
        <v/>
      </c>
      <c r="J61" s="40"/>
      <c r="K61" s="39"/>
      <c r="L61" s="39"/>
      <c r="M61" s="39"/>
      <c r="N61" s="39"/>
      <c r="O61" s="39"/>
      <c r="P61" s="39"/>
      <c r="Q61" s="39"/>
      <c r="R61" s="43"/>
      <c r="S61" s="41" t="str">
        <f aca="true">IF(A61="","",IF(R61="","NEVER TESTED",IF(TODAY()-R61&gt;RestoreTestMaxDays,"STALE","CURRENT")))</f>
        <v/>
      </c>
      <c r="T61" s="40"/>
      <c r="U61" s="41" t="str">
        <f aca="false">IF(OR(D61="",T61=""),"",IF(T61&gt;D61,"GAP","OK"))</f>
        <v/>
      </c>
      <c r="V61" s="39"/>
    </row>
    <row r="62" customFormat="false" ht="15" hidden="false" customHeight="false" outlineLevel="0" collapsed="false">
      <c r="A62" s="39"/>
      <c r="B62" s="39"/>
      <c r="C62" s="41" t="str">
        <f aca="false">IF(B62="","",IFERROR(IF(INDEX('3 Critical Apps'!$J$6:$J$105,MATCH(B62,'3 Critical Apps'!$A$6:$A$105,0))="","",INDEX('3 Critical Apps'!$J$6:$J$105,MATCH(B62,'3 Critical Apps'!$A$6:$A$105,0))),""))</f>
        <v/>
      </c>
      <c r="D62" s="41" t="str">
        <f aca="false">IF(B62="","",IFERROR(IF(INDEX('3 Critical Apps'!$I$6:$I$105,MATCH(B62,'3 Critical Apps'!$A$6:$A$105,0))="","",INDEX('3 Critical Apps'!$I$6:$I$105,MATCH(B62,'3 Critical Apps'!$A$6:$A$105,0))),""))</f>
        <v/>
      </c>
      <c r="E62" s="39"/>
      <c r="F62" s="39"/>
      <c r="G62" s="39"/>
      <c r="H62" s="40"/>
      <c r="I62" s="41" t="str">
        <f aca="false">IF(OR(C62="",H62=""),"",IF(H62&gt;C62,"GAP","OK"))</f>
        <v/>
      </c>
      <c r="J62" s="40"/>
      <c r="K62" s="39"/>
      <c r="L62" s="39"/>
      <c r="M62" s="39"/>
      <c r="N62" s="39"/>
      <c r="O62" s="39"/>
      <c r="P62" s="39"/>
      <c r="Q62" s="39"/>
      <c r="R62" s="43"/>
      <c r="S62" s="41" t="str">
        <f aca="true">IF(A62="","",IF(R62="","NEVER TESTED",IF(TODAY()-R62&gt;RestoreTestMaxDays,"STALE","CURRENT")))</f>
        <v/>
      </c>
      <c r="T62" s="40"/>
      <c r="U62" s="41" t="str">
        <f aca="false">IF(OR(D62="",T62=""),"",IF(T62&gt;D62,"GAP","OK"))</f>
        <v/>
      </c>
      <c r="V62" s="39"/>
    </row>
    <row r="63" customFormat="false" ht="15" hidden="false" customHeight="false" outlineLevel="0" collapsed="false">
      <c r="A63" s="39"/>
      <c r="B63" s="39"/>
      <c r="C63" s="41" t="str">
        <f aca="false">IF(B63="","",IFERROR(IF(INDEX('3 Critical Apps'!$J$6:$J$105,MATCH(B63,'3 Critical Apps'!$A$6:$A$105,0))="","",INDEX('3 Critical Apps'!$J$6:$J$105,MATCH(B63,'3 Critical Apps'!$A$6:$A$105,0))),""))</f>
        <v/>
      </c>
      <c r="D63" s="41" t="str">
        <f aca="false">IF(B63="","",IFERROR(IF(INDEX('3 Critical Apps'!$I$6:$I$105,MATCH(B63,'3 Critical Apps'!$A$6:$A$105,0))="","",INDEX('3 Critical Apps'!$I$6:$I$105,MATCH(B63,'3 Critical Apps'!$A$6:$A$105,0))),""))</f>
        <v/>
      </c>
      <c r="E63" s="39"/>
      <c r="F63" s="39"/>
      <c r="G63" s="39"/>
      <c r="H63" s="40"/>
      <c r="I63" s="41" t="str">
        <f aca="false">IF(OR(C63="",H63=""),"",IF(H63&gt;C63,"GAP","OK"))</f>
        <v/>
      </c>
      <c r="J63" s="40"/>
      <c r="K63" s="39"/>
      <c r="L63" s="39"/>
      <c r="M63" s="39"/>
      <c r="N63" s="39"/>
      <c r="O63" s="39"/>
      <c r="P63" s="39"/>
      <c r="Q63" s="39"/>
      <c r="R63" s="43"/>
      <c r="S63" s="41" t="str">
        <f aca="true">IF(A63="","",IF(R63="","NEVER TESTED",IF(TODAY()-R63&gt;RestoreTestMaxDays,"STALE","CURRENT")))</f>
        <v/>
      </c>
      <c r="T63" s="40"/>
      <c r="U63" s="41" t="str">
        <f aca="false">IF(OR(D63="",T63=""),"",IF(T63&gt;D63,"GAP","OK"))</f>
        <v/>
      </c>
      <c r="V63" s="39"/>
    </row>
    <row r="64" customFormat="false" ht="15" hidden="false" customHeight="false" outlineLevel="0" collapsed="false">
      <c r="A64" s="39"/>
      <c r="B64" s="39"/>
      <c r="C64" s="41" t="str">
        <f aca="false">IF(B64="","",IFERROR(IF(INDEX('3 Critical Apps'!$J$6:$J$105,MATCH(B64,'3 Critical Apps'!$A$6:$A$105,0))="","",INDEX('3 Critical Apps'!$J$6:$J$105,MATCH(B64,'3 Critical Apps'!$A$6:$A$105,0))),""))</f>
        <v/>
      </c>
      <c r="D64" s="41" t="str">
        <f aca="false">IF(B64="","",IFERROR(IF(INDEX('3 Critical Apps'!$I$6:$I$105,MATCH(B64,'3 Critical Apps'!$A$6:$A$105,0))="","",INDEX('3 Critical Apps'!$I$6:$I$105,MATCH(B64,'3 Critical Apps'!$A$6:$A$105,0))),""))</f>
        <v/>
      </c>
      <c r="E64" s="39"/>
      <c r="F64" s="39"/>
      <c r="G64" s="39"/>
      <c r="H64" s="40"/>
      <c r="I64" s="41" t="str">
        <f aca="false">IF(OR(C64="",H64=""),"",IF(H64&gt;C64,"GAP","OK"))</f>
        <v/>
      </c>
      <c r="J64" s="40"/>
      <c r="K64" s="39"/>
      <c r="L64" s="39"/>
      <c r="M64" s="39"/>
      <c r="N64" s="39"/>
      <c r="O64" s="39"/>
      <c r="P64" s="39"/>
      <c r="Q64" s="39"/>
      <c r="R64" s="43"/>
      <c r="S64" s="41" t="str">
        <f aca="true">IF(A64="","",IF(R64="","NEVER TESTED",IF(TODAY()-R64&gt;RestoreTestMaxDays,"STALE","CURRENT")))</f>
        <v/>
      </c>
      <c r="T64" s="40"/>
      <c r="U64" s="41" t="str">
        <f aca="false">IF(OR(D64="",T64=""),"",IF(T64&gt;D64,"GAP","OK"))</f>
        <v/>
      </c>
      <c r="V64" s="39"/>
    </row>
    <row r="65" customFormat="false" ht="15" hidden="false" customHeight="false" outlineLevel="0" collapsed="false">
      <c r="A65" s="39"/>
      <c r="B65" s="39"/>
      <c r="C65" s="41" t="str">
        <f aca="false">IF(B65="","",IFERROR(IF(INDEX('3 Critical Apps'!$J$6:$J$105,MATCH(B65,'3 Critical Apps'!$A$6:$A$105,0))="","",INDEX('3 Critical Apps'!$J$6:$J$105,MATCH(B65,'3 Critical Apps'!$A$6:$A$105,0))),""))</f>
        <v/>
      </c>
      <c r="D65" s="41" t="str">
        <f aca="false">IF(B65="","",IFERROR(IF(INDEX('3 Critical Apps'!$I$6:$I$105,MATCH(B65,'3 Critical Apps'!$A$6:$A$105,0))="","",INDEX('3 Critical Apps'!$I$6:$I$105,MATCH(B65,'3 Critical Apps'!$A$6:$A$105,0))),""))</f>
        <v/>
      </c>
      <c r="E65" s="39"/>
      <c r="F65" s="39"/>
      <c r="G65" s="39"/>
      <c r="H65" s="40"/>
      <c r="I65" s="41" t="str">
        <f aca="false">IF(OR(C65="",H65=""),"",IF(H65&gt;C65,"GAP","OK"))</f>
        <v/>
      </c>
      <c r="J65" s="40"/>
      <c r="K65" s="39"/>
      <c r="L65" s="39"/>
      <c r="M65" s="39"/>
      <c r="N65" s="39"/>
      <c r="O65" s="39"/>
      <c r="P65" s="39"/>
      <c r="Q65" s="39"/>
      <c r="R65" s="43"/>
      <c r="S65" s="41" t="str">
        <f aca="true">IF(A65="","",IF(R65="","NEVER TESTED",IF(TODAY()-R65&gt;RestoreTestMaxDays,"STALE","CURRENT")))</f>
        <v/>
      </c>
      <c r="T65" s="40"/>
      <c r="U65" s="41" t="str">
        <f aca="false">IF(OR(D65="",T65=""),"",IF(T65&gt;D65,"GAP","OK"))</f>
        <v/>
      </c>
      <c r="V65" s="39"/>
    </row>
    <row r="66" customFormat="false" ht="15" hidden="false" customHeight="false" outlineLevel="0" collapsed="false">
      <c r="A66" s="39"/>
      <c r="B66" s="39"/>
      <c r="C66" s="41" t="str">
        <f aca="false">IF(B66="","",IFERROR(IF(INDEX('3 Critical Apps'!$J$6:$J$105,MATCH(B66,'3 Critical Apps'!$A$6:$A$105,0))="","",INDEX('3 Critical Apps'!$J$6:$J$105,MATCH(B66,'3 Critical Apps'!$A$6:$A$105,0))),""))</f>
        <v/>
      </c>
      <c r="D66" s="41" t="str">
        <f aca="false">IF(B66="","",IFERROR(IF(INDEX('3 Critical Apps'!$I$6:$I$105,MATCH(B66,'3 Critical Apps'!$A$6:$A$105,0))="","",INDEX('3 Critical Apps'!$I$6:$I$105,MATCH(B66,'3 Critical Apps'!$A$6:$A$105,0))),""))</f>
        <v/>
      </c>
      <c r="E66" s="39"/>
      <c r="F66" s="39"/>
      <c r="G66" s="39"/>
      <c r="H66" s="40"/>
      <c r="I66" s="41" t="str">
        <f aca="false">IF(OR(C66="",H66=""),"",IF(H66&gt;C66,"GAP","OK"))</f>
        <v/>
      </c>
      <c r="J66" s="40"/>
      <c r="K66" s="39"/>
      <c r="L66" s="39"/>
      <c r="M66" s="39"/>
      <c r="N66" s="39"/>
      <c r="O66" s="39"/>
      <c r="P66" s="39"/>
      <c r="Q66" s="39"/>
      <c r="R66" s="43"/>
      <c r="S66" s="41" t="str">
        <f aca="true">IF(A66="","",IF(R66="","NEVER TESTED",IF(TODAY()-R66&gt;RestoreTestMaxDays,"STALE","CURRENT")))</f>
        <v/>
      </c>
      <c r="T66" s="40"/>
      <c r="U66" s="41" t="str">
        <f aca="false">IF(OR(D66="",T66=""),"",IF(T66&gt;D66,"GAP","OK"))</f>
        <v/>
      </c>
      <c r="V66" s="39"/>
    </row>
    <row r="67" customFormat="false" ht="15" hidden="false" customHeight="false" outlineLevel="0" collapsed="false">
      <c r="A67" s="39"/>
      <c r="B67" s="39"/>
      <c r="C67" s="41" t="str">
        <f aca="false">IF(B67="","",IFERROR(IF(INDEX('3 Critical Apps'!$J$6:$J$105,MATCH(B67,'3 Critical Apps'!$A$6:$A$105,0))="","",INDEX('3 Critical Apps'!$J$6:$J$105,MATCH(B67,'3 Critical Apps'!$A$6:$A$105,0))),""))</f>
        <v/>
      </c>
      <c r="D67" s="41" t="str">
        <f aca="false">IF(B67="","",IFERROR(IF(INDEX('3 Critical Apps'!$I$6:$I$105,MATCH(B67,'3 Critical Apps'!$A$6:$A$105,0))="","",INDEX('3 Critical Apps'!$I$6:$I$105,MATCH(B67,'3 Critical Apps'!$A$6:$A$105,0))),""))</f>
        <v/>
      </c>
      <c r="E67" s="39"/>
      <c r="F67" s="39"/>
      <c r="G67" s="39"/>
      <c r="H67" s="40"/>
      <c r="I67" s="41" t="str">
        <f aca="false">IF(OR(C67="",H67=""),"",IF(H67&gt;C67,"GAP","OK"))</f>
        <v/>
      </c>
      <c r="J67" s="40"/>
      <c r="K67" s="39"/>
      <c r="L67" s="39"/>
      <c r="M67" s="39"/>
      <c r="N67" s="39"/>
      <c r="O67" s="39"/>
      <c r="P67" s="39"/>
      <c r="Q67" s="39"/>
      <c r="R67" s="43"/>
      <c r="S67" s="41" t="str">
        <f aca="true">IF(A67="","",IF(R67="","NEVER TESTED",IF(TODAY()-R67&gt;RestoreTestMaxDays,"STALE","CURRENT")))</f>
        <v/>
      </c>
      <c r="T67" s="40"/>
      <c r="U67" s="41" t="str">
        <f aca="false">IF(OR(D67="",T67=""),"",IF(T67&gt;D67,"GAP","OK"))</f>
        <v/>
      </c>
      <c r="V67" s="39"/>
    </row>
    <row r="68" customFormat="false" ht="15" hidden="false" customHeight="false" outlineLevel="0" collapsed="false">
      <c r="A68" s="39"/>
      <c r="B68" s="39"/>
      <c r="C68" s="41" t="str">
        <f aca="false">IF(B68="","",IFERROR(IF(INDEX('3 Critical Apps'!$J$6:$J$105,MATCH(B68,'3 Critical Apps'!$A$6:$A$105,0))="","",INDEX('3 Critical Apps'!$J$6:$J$105,MATCH(B68,'3 Critical Apps'!$A$6:$A$105,0))),""))</f>
        <v/>
      </c>
      <c r="D68" s="41" t="str">
        <f aca="false">IF(B68="","",IFERROR(IF(INDEX('3 Critical Apps'!$I$6:$I$105,MATCH(B68,'3 Critical Apps'!$A$6:$A$105,0))="","",INDEX('3 Critical Apps'!$I$6:$I$105,MATCH(B68,'3 Critical Apps'!$A$6:$A$105,0))),""))</f>
        <v/>
      </c>
      <c r="E68" s="39"/>
      <c r="F68" s="39"/>
      <c r="G68" s="39"/>
      <c r="H68" s="40"/>
      <c r="I68" s="41" t="str">
        <f aca="false">IF(OR(C68="",H68=""),"",IF(H68&gt;C68,"GAP","OK"))</f>
        <v/>
      </c>
      <c r="J68" s="40"/>
      <c r="K68" s="39"/>
      <c r="L68" s="39"/>
      <c r="M68" s="39"/>
      <c r="N68" s="39"/>
      <c r="O68" s="39"/>
      <c r="P68" s="39"/>
      <c r="Q68" s="39"/>
      <c r="R68" s="43"/>
      <c r="S68" s="41" t="str">
        <f aca="true">IF(A68="","",IF(R68="","NEVER TESTED",IF(TODAY()-R68&gt;RestoreTestMaxDays,"STALE","CURRENT")))</f>
        <v/>
      </c>
      <c r="T68" s="40"/>
      <c r="U68" s="41" t="str">
        <f aca="false">IF(OR(D68="",T68=""),"",IF(T68&gt;D68,"GAP","OK"))</f>
        <v/>
      </c>
      <c r="V68" s="39"/>
    </row>
    <row r="69" customFormat="false" ht="15" hidden="false" customHeight="false" outlineLevel="0" collapsed="false">
      <c r="A69" s="39"/>
      <c r="B69" s="39"/>
      <c r="C69" s="41" t="str">
        <f aca="false">IF(B69="","",IFERROR(IF(INDEX('3 Critical Apps'!$J$6:$J$105,MATCH(B69,'3 Critical Apps'!$A$6:$A$105,0))="","",INDEX('3 Critical Apps'!$J$6:$J$105,MATCH(B69,'3 Critical Apps'!$A$6:$A$105,0))),""))</f>
        <v/>
      </c>
      <c r="D69" s="41" t="str">
        <f aca="false">IF(B69="","",IFERROR(IF(INDEX('3 Critical Apps'!$I$6:$I$105,MATCH(B69,'3 Critical Apps'!$A$6:$A$105,0))="","",INDEX('3 Critical Apps'!$I$6:$I$105,MATCH(B69,'3 Critical Apps'!$A$6:$A$105,0))),""))</f>
        <v/>
      </c>
      <c r="E69" s="39"/>
      <c r="F69" s="39"/>
      <c r="G69" s="39"/>
      <c r="H69" s="40"/>
      <c r="I69" s="41" t="str">
        <f aca="false">IF(OR(C69="",H69=""),"",IF(H69&gt;C69,"GAP","OK"))</f>
        <v/>
      </c>
      <c r="J69" s="40"/>
      <c r="K69" s="39"/>
      <c r="L69" s="39"/>
      <c r="M69" s="39"/>
      <c r="N69" s="39"/>
      <c r="O69" s="39"/>
      <c r="P69" s="39"/>
      <c r="Q69" s="39"/>
      <c r="R69" s="43"/>
      <c r="S69" s="41" t="str">
        <f aca="true">IF(A69="","",IF(R69="","NEVER TESTED",IF(TODAY()-R69&gt;RestoreTestMaxDays,"STALE","CURRENT")))</f>
        <v/>
      </c>
      <c r="T69" s="40"/>
      <c r="U69" s="41" t="str">
        <f aca="false">IF(OR(D69="",T69=""),"",IF(T69&gt;D69,"GAP","OK"))</f>
        <v/>
      </c>
      <c r="V69" s="39"/>
    </row>
    <row r="70" customFormat="false" ht="15" hidden="false" customHeight="false" outlineLevel="0" collapsed="false">
      <c r="A70" s="39"/>
      <c r="B70" s="39"/>
      <c r="C70" s="41" t="str">
        <f aca="false">IF(B70="","",IFERROR(IF(INDEX('3 Critical Apps'!$J$6:$J$105,MATCH(B70,'3 Critical Apps'!$A$6:$A$105,0))="","",INDEX('3 Critical Apps'!$J$6:$J$105,MATCH(B70,'3 Critical Apps'!$A$6:$A$105,0))),""))</f>
        <v/>
      </c>
      <c r="D70" s="41" t="str">
        <f aca="false">IF(B70="","",IFERROR(IF(INDEX('3 Critical Apps'!$I$6:$I$105,MATCH(B70,'3 Critical Apps'!$A$6:$A$105,0))="","",INDEX('3 Critical Apps'!$I$6:$I$105,MATCH(B70,'3 Critical Apps'!$A$6:$A$105,0))),""))</f>
        <v/>
      </c>
      <c r="E70" s="39"/>
      <c r="F70" s="39"/>
      <c r="G70" s="39"/>
      <c r="H70" s="40"/>
      <c r="I70" s="41" t="str">
        <f aca="false">IF(OR(C70="",H70=""),"",IF(H70&gt;C70,"GAP","OK"))</f>
        <v/>
      </c>
      <c r="J70" s="40"/>
      <c r="K70" s="39"/>
      <c r="L70" s="39"/>
      <c r="M70" s="39"/>
      <c r="N70" s="39"/>
      <c r="O70" s="39"/>
      <c r="P70" s="39"/>
      <c r="Q70" s="39"/>
      <c r="R70" s="43"/>
      <c r="S70" s="41" t="str">
        <f aca="true">IF(A70="","",IF(R70="","NEVER TESTED",IF(TODAY()-R70&gt;RestoreTestMaxDays,"STALE","CURRENT")))</f>
        <v/>
      </c>
      <c r="T70" s="40"/>
      <c r="U70" s="41" t="str">
        <f aca="false">IF(OR(D70="",T70=""),"",IF(T70&gt;D70,"GAP","OK"))</f>
        <v/>
      </c>
      <c r="V70" s="39"/>
    </row>
    <row r="71" customFormat="false" ht="15" hidden="false" customHeight="false" outlineLevel="0" collapsed="false">
      <c r="A71" s="39"/>
      <c r="B71" s="39"/>
      <c r="C71" s="41" t="str">
        <f aca="false">IF(B71="","",IFERROR(IF(INDEX('3 Critical Apps'!$J$6:$J$105,MATCH(B71,'3 Critical Apps'!$A$6:$A$105,0))="","",INDEX('3 Critical Apps'!$J$6:$J$105,MATCH(B71,'3 Critical Apps'!$A$6:$A$105,0))),""))</f>
        <v/>
      </c>
      <c r="D71" s="41" t="str">
        <f aca="false">IF(B71="","",IFERROR(IF(INDEX('3 Critical Apps'!$I$6:$I$105,MATCH(B71,'3 Critical Apps'!$A$6:$A$105,0))="","",INDEX('3 Critical Apps'!$I$6:$I$105,MATCH(B71,'3 Critical Apps'!$A$6:$A$105,0))),""))</f>
        <v/>
      </c>
      <c r="E71" s="39"/>
      <c r="F71" s="39"/>
      <c r="G71" s="39"/>
      <c r="H71" s="40"/>
      <c r="I71" s="41" t="str">
        <f aca="false">IF(OR(C71="",H71=""),"",IF(H71&gt;C71,"GAP","OK"))</f>
        <v/>
      </c>
      <c r="J71" s="40"/>
      <c r="K71" s="39"/>
      <c r="L71" s="39"/>
      <c r="M71" s="39"/>
      <c r="N71" s="39"/>
      <c r="O71" s="39"/>
      <c r="P71" s="39"/>
      <c r="Q71" s="39"/>
      <c r="R71" s="43"/>
      <c r="S71" s="41" t="str">
        <f aca="true">IF(A71="","",IF(R71="","NEVER TESTED",IF(TODAY()-R71&gt;RestoreTestMaxDays,"STALE","CURRENT")))</f>
        <v/>
      </c>
      <c r="T71" s="40"/>
      <c r="U71" s="41" t="str">
        <f aca="false">IF(OR(D71="",T71=""),"",IF(T71&gt;D71,"GAP","OK"))</f>
        <v/>
      </c>
      <c r="V71" s="39"/>
    </row>
    <row r="72" customFormat="false" ht="15" hidden="false" customHeight="false" outlineLevel="0" collapsed="false">
      <c r="A72" s="39"/>
      <c r="B72" s="39"/>
      <c r="C72" s="41" t="str">
        <f aca="false">IF(B72="","",IFERROR(IF(INDEX('3 Critical Apps'!$J$6:$J$105,MATCH(B72,'3 Critical Apps'!$A$6:$A$105,0))="","",INDEX('3 Critical Apps'!$J$6:$J$105,MATCH(B72,'3 Critical Apps'!$A$6:$A$105,0))),""))</f>
        <v/>
      </c>
      <c r="D72" s="41" t="str">
        <f aca="false">IF(B72="","",IFERROR(IF(INDEX('3 Critical Apps'!$I$6:$I$105,MATCH(B72,'3 Critical Apps'!$A$6:$A$105,0))="","",INDEX('3 Critical Apps'!$I$6:$I$105,MATCH(B72,'3 Critical Apps'!$A$6:$A$105,0))),""))</f>
        <v/>
      </c>
      <c r="E72" s="39"/>
      <c r="F72" s="39"/>
      <c r="G72" s="39"/>
      <c r="H72" s="40"/>
      <c r="I72" s="41" t="str">
        <f aca="false">IF(OR(C72="",H72=""),"",IF(H72&gt;C72,"GAP","OK"))</f>
        <v/>
      </c>
      <c r="J72" s="40"/>
      <c r="K72" s="39"/>
      <c r="L72" s="39"/>
      <c r="M72" s="39"/>
      <c r="N72" s="39"/>
      <c r="O72" s="39"/>
      <c r="P72" s="39"/>
      <c r="Q72" s="39"/>
      <c r="R72" s="43"/>
      <c r="S72" s="41" t="str">
        <f aca="true">IF(A72="","",IF(R72="","NEVER TESTED",IF(TODAY()-R72&gt;RestoreTestMaxDays,"STALE","CURRENT")))</f>
        <v/>
      </c>
      <c r="T72" s="40"/>
      <c r="U72" s="41" t="str">
        <f aca="false">IF(OR(D72="",T72=""),"",IF(T72&gt;D72,"GAP","OK"))</f>
        <v/>
      </c>
      <c r="V72" s="39"/>
    </row>
    <row r="73" customFormat="false" ht="15" hidden="false" customHeight="false" outlineLevel="0" collapsed="false">
      <c r="A73" s="39"/>
      <c r="B73" s="39"/>
      <c r="C73" s="41" t="str">
        <f aca="false">IF(B73="","",IFERROR(IF(INDEX('3 Critical Apps'!$J$6:$J$105,MATCH(B73,'3 Critical Apps'!$A$6:$A$105,0))="","",INDEX('3 Critical Apps'!$J$6:$J$105,MATCH(B73,'3 Critical Apps'!$A$6:$A$105,0))),""))</f>
        <v/>
      </c>
      <c r="D73" s="41" t="str">
        <f aca="false">IF(B73="","",IFERROR(IF(INDEX('3 Critical Apps'!$I$6:$I$105,MATCH(B73,'3 Critical Apps'!$A$6:$A$105,0))="","",INDEX('3 Critical Apps'!$I$6:$I$105,MATCH(B73,'3 Critical Apps'!$A$6:$A$105,0))),""))</f>
        <v/>
      </c>
      <c r="E73" s="39"/>
      <c r="F73" s="39"/>
      <c r="G73" s="39"/>
      <c r="H73" s="40"/>
      <c r="I73" s="41" t="str">
        <f aca="false">IF(OR(C73="",H73=""),"",IF(H73&gt;C73,"GAP","OK"))</f>
        <v/>
      </c>
      <c r="J73" s="40"/>
      <c r="K73" s="39"/>
      <c r="L73" s="39"/>
      <c r="M73" s="39"/>
      <c r="N73" s="39"/>
      <c r="O73" s="39"/>
      <c r="P73" s="39"/>
      <c r="Q73" s="39"/>
      <c r="R73" s="43"/>
      <c r="S73" s="41" t="str">
        <f aca="true">IF(A73="","",IF(R73="","NEVER TESTED",IF(TODAY()-R73&gt;RestoreTestMaxDays,"STALE","CURRENT")))</f>
        <v/>
      </c>
      <c r="T73" s="40"/>
      <c r="U73" s="41" t="str">
        <f aca="false">IF(OR(D73="",T73=""),"",IF(T73&gt;D73,"GAP","OK"))</f>
        <v/>
      </c>
      <c r="V73" s="39"/>
    </row>
    <row r="74" customFormat="false" ht="15" hidden="false" customHeight="false" outlineLevel="0" collapsed="false">
      <c r="A74" s="39"/>
      <c r="B74" s="39"/>
      <c r="C74" s="41" t="str">
        <f aca="false">IF(B74="","",IFERROR(IF(INDEX('3 Critical Apps'!$J$6:$J$105,MATCH(B74,'3 Critical Apps'!$A$6:$A$105,0))="","",INDEX('3 Critical Apps'!$J$6:$J$105,MATCH(B74,'3 Critical Apps'!$A$6:$A$105,0))),""))</f>
        <v/>
      </c>
      <c r="D74" s="41" t="str">
        <f aca="false">IF(B74="","",IFERROR(IF(INDEX('3 Critical Apps'!$I$6:$I$105,MATCH(B74,'3 Critical Apps'!$A$6:$A$105,0))="","",INDEX('3 Critical Apps'!$I$6:$I$105,MATCH(B74,'3 Critical Apps'!$A$6:$A$105,0))),""))</f>
        <v/>
      </c>
      <c r="E74" s="39"/>
      <c r="F74" s="39"/>
      <c r="G74" s="39"/>
      <c r="H74" s="40"/>
      <c r="I74" s="41" t="str">
        <f aca="false">IF(OR(C74="",H74=""),"",IF(H74&gt;C74,"GAP","OK"))</f>
        <v/>
      </c>
      <c r="J74" s="40"/>
      <c r="K74" s="39"/>
      <c r="L74" s="39"/>
      <c r="M74" s="39"/>
      <c r="N74" s="39"/>
      <c r="O74" s="39"/>
      <c r="P74" s="39"/>
      <c r="Q74" s="39"/>
      <c r="R74" s="43"/>
      <c r="S74" s="41" t="str">
        <f aca="true">IF(A74="","",IF(R74="","NEVER TESTED",IF(TODAY()-R74&gt;RestoreTestMaxDays,"STALE","CURRENT")))</f>
        <v/>
      </c>
      <c r="T74" s="40"/>
      <c r="U74" s="41" t="str">
        <f aca="false">IF(OR(D74="",T74=""),"",IF(T74&gt;D74,"GAP","OK"))</f>
        <v/>
      </c>
      <c r="V74" s="39"/>
    </row>
    <row r="75" customFormat="false" ht="15" hidden="false" customHeight="false" outlineLevel="0" collapsed="false">
      <c r="A75" s="39"/>
      <c r="B75" s="39"/>
      <c r="C75" s="41" t="str">
        <f aca="false">IF(B75="","",IFERROR(IF(INDEX('3 Critical Apps'!$J$6:$J$105,MATCH(B75,'3 Critical Apps'!$A$6:$A$105,0))="","",INDEX('3 Critical Apps'!$J$6:$J$105,MATCH(B75,'3 Critical Apps'!$A$6:$A$105,0))),""))</f>
        <v/>
      </c>
      <c r="D75" s="41" t="str">
        <f aca="false">IF(B75="","",IFERROR(IF(INDEX('3 Critical Apps'!$I$6:$I$105,MATCH(B75,'3 Critical Apps'!$A$6:$A$105,0))="","",INDEX('3 Critical Apps'!$I$6:$I$105,MATCH(B75,'3 Critical Apps'!$A$6:$A$105,0))),""))</f>
        <v/>
      </c>
      <c r="E75" s="39"/>
      <c r="F75" s="39"/>
      <c r="G75" s="39"/>
      <c r="H75" s="40"/>
      <c r="I75" s="41" t="str">
        <f aca="false">IF(OR(C75="",H75=""),"",IF(H75&gt;C75,"GAP","OK"))</f>
        <v/>
      </c>
      <c r="J75" s="40"/>
      <c r="K75" s="39"/>
      <c r="L75" s="39"/>
      <c r="M75" s="39"/>
      <c r="N75" s="39"/>
      <c r="O75" s="39"/>
      <c r="P75" s="39"/>
      <c r="Q75" s="39"/>
      <c r="R75" s="43"/>
      <c r="S75" s="41" t="str">
        <f aca="true">IF(A75="","",IF(R75="","NEVER TESTED",IF(TODAY()-R75&gt;RestoreTestMaxDays,"STALE","CURRENT")))</f>
        <v/>
      </c>
      <c r="T75" s="40"/>
      <c r="U75" s="41" t="str">
        <f aca="false">IF(OR(D75="",T75=""),"",IF(T75&gt;D75,"GAP","OK"))</f>
        <v/>
      </c>
      <c r="V75" s="39"/>
    </row>
    <row r="76" customFormat="false" ht="15" hidden="false" customHeight="false" outlineLevel="0" collapsed="false">
      <c r="A76" s="39"/>
      <c r="B76" s="39"/>
      <c r="C76" s="41" t="str">
        <f aca="false">IF(B76="","",IFERROR(IF(INDEX('3 Critical Apps'!$J$6:$J$105,MATCH(B76,'3 Critical Apps'!$A$6:$A$105,0))="","",INDEX('3 Critical Apps'!$J$6:$J$105,MATCH(B76,'3 Critical Apps'!$A$6:$A$105,0))),""))</f>
        <v/>
      </c>
      <c r="D76" s="41" t="str">
        <f aca="false">IF(B76="","",IFERROR(IF(INDEX('3 Critical Apps'!$I$6:$I$105,MATCH(B76,'3 Critical Apps'!$A$6:$A$105,0))="","",INDEX('3 Critical Apps'!$I$6:$I$105,MATCH(B76,'3 Critical Apps'!$A$6:$A$105,0))),""))</f>
        <v/>
      </c>
      <c r="E76" s="39"/>
      <c r="F76" s="39"/>
      <c r="G76" s="39"/>
      <c r="H76" s="40"/>
      <c r="I76" s="41" t="str">
        <f aca="false">IF(OR(C76="",H76=""),"",IF(H76&gt;C76,"GAP","OK"))</f>
        <v/>
      </c>
      <c r="J76" s="40"/>
      <c r="K76" s="39"/>
      <c r="L76" s="39"/>
      <c r="M76" s="39"/>
      <c r="N76" s="39"/>
      <c r="O76" s="39"/>
      <c r="P76" s="39"/>
      <c r="Q76" s="39"/>
      <c r="R76" s="43"/>
      <c r="S76" s="41" t="str">
        <f aca="true">IF(A76="","",IF(R76="","NEVER TESTED",IF(TODAY()-R76&gt;RestoreTestMaxDays,"STALE","CURRENT")))</f>
        <v/>
      </c>
      <c r="T76" s="40"/>
      <c r="U76" s="41" t="str">
        <f aca="false">IF(OR(D76="",T76=""),"",IF(T76&gt;D76,"GAP","OK"))</f>
        <v/>
      </c>
      <c r="V76" s="39"/>
    </row>
    <row r="77" customFormat="false" ht="15" hidden="false" customHeight="false" outlineLevel="0" collapsed="false">
      <c r="A77" s="39"/>
      <c r="B77" s="39"/>
      <c r="C77" s="41" t="str">
        <f aca="false">IF(B77="","",IFERROR(IF(INDEX('3 Critical Apps'!$J$6:$J$105,MATCH(B77,'3 Critical Apps'!$A$6:$A$105,0))="","",INDEX('3 Critical Apps'!$J$6:$J$105,MATCH(B77,'3 Critical Apps'!$A$6:$A$105,0))),""))</f>
        <v/>
      </c>
      <c r="D77" s="41" t="str">
        <f aca="false">IF(B77="","",IFERROR(IF(INDEX('3 Critical Apps'!$I$6:$I$105,MATCH(B77,'3 Critical Apps'!$A$6:$A$105,0))="","",INDEX('3 Critical Apps'!$I$6:$I$105,MATCH(B77,'3 Critical Apps'!$A$6:$A$105,0))),""))</f>
        <v/>
      </c>
      <c r="E77" s="39"/>
      <c r="F77" s="39"/>
      <c r="G77" s="39"/>
      <c r="H77" s="40"/>
      <c r="I77" s="41" t="str">
        <f aca="false">IF(OR(C77="",H77=""),"",IF(H77&gt;C77,"GAP","OK"))</f>
        <v/>
      </c>
      <c r="J77" s="40"/>
      <c r="K77" s="39"/>
      <c r="L77" s="39"/>
      <c r="M77" s="39"/>
      <c r="N77" s="39"/>
      <c r="O77" s="39"/>
      <c r="P77" s="39"/>
      <c r="Q77" s="39"/>
      <c r="R77" s="43"/>
      <c r="S77" s="41" t="str">
        <f aca="true">IF(A77="","",IF(R77="","NEVER TESTED",IF(TODAY()-R77&gt;RestoreTestMaxDays,"STALE","CURRENT")))</f>
        <v/>
      </c>
      <c r="T77" s="40"/>
      <c r="U77" s="41" t="str">
        <f aca="false">IF(OR(D77="",T77=""),"",IF(T77&gt;D77,"GAP","OK"))</f>
        <v/>
      </c>
      <c r="V77" s="39"/>
    </row>
    <row r="78" customFormat="false" ht="15" hidden="false" customHeight="false" outlineLevel="0" collapsed="false">
      <c r="A78" s="39"/>
      <c r="B78" s="39"/>
      <c r="C78" s="41" t="str">
        <f aca="false">IF(B78="","",IFERROR(IF(INDEX('3 Critical Apps'!$J$6:$J$105,MATCH(B78,'3 Critical Apps'!$A$6:$A$105,0))="","",INDEX('3 Critical Apps'!$J$6:$J$105,MATCH(B78,'3 Critical Apps'!$A$6:$A$105,0))),""))</f>
        <v/>
      </c>
      <c r="D78" s="41" t="str">
        <f aca="false">IF(B78="","",IFERROR(IF(INDEX('3 Critical Apps'!$I$6:$I$105,MATCH(B78,'3 Critical Apps'!$A$6:$A$105,0))="","",INDEX('3 Critical Apps'!$I$6:$I$105,MATCH(B78,'3 Critical Apps'!$A$6:$A$105,0))),""))</f>
        <v/>
      </c>
      <c r="E78" s="39"/>
      <c r="F78" s="39"/>
      <c r="G78" s="39"/>
      <c r="H78" s="40"/>
      <c r="I78" s="41" t="str">
        <f aca="false">IF(OR(C78="",H78=""),"",IF(H78&gt;C78,"GAP","OK"))</f>
        <v/>
      </c>
      <c r="J78" s="40"/>
      <c r="K78" s="39"/>
      <c r="L78" s="39"/>
      <c r="M78" s="39"/>
      <c r="N78" s="39"/>
      <c r="O78" s="39"/>
      <c r="P78" s="39"/>
      <c r="Q78" s="39"/>
      <c r="R78" s="43"/>
      <c r="S78" s="41" t="str">
        <f aca="true">IF(A78="","",IF(R78="","NEVER TESTED",IF(TODAY()-R78&gt;RestoreTestMaxDays,"STALE","CURRENT")))</f>
        <v/>
      </c>
      <c r="T78" s="40"/>
      <c r="U78" s="41" t="str">
        <f aca="false">IF(OR(D78="",T78=""),"",IF(T78&gt;D78,"GAP","OK"))</f>
        <v/>
      </c>
      <c r="V78" s="39"/>
    </row>
    <row r="79" customFormat="false" ht="15" hidden="false" customHeight="false" outlineLevel="0" collapsed="false">
      <c r="A79" s="39"/>
      <c r="B79" s="39"/>
      <c r="C79" s="41" t="str">
        <f aca="false">IF(B79="","",IFERROR(IF(INDEX('3 Critical Apps'!$J$6:$J$105,MATCH(B79,'3 Critical Apps'!$A$6:$A$105,0))="","",INDEX('3 Critical Apps'!$J$6:$J$105,MATCH(B79,'3 Critical Apps'!$A$6:$A$105,0))),""))</f>
        <v/>
      </c>
      <c r="D79" s="41" t="str">
        <f aca="false">IF(B79="","",IFERROR(IF(INDEX('3 Critical Apps'!$I$6:$I$105,MATCH(B79,'3 Critical Apps'!$A$6:$A$105,0))="","",INDEX('3 Critical Apps'!$I$6:$I$105,MATCH(B79,'3 Critical Apps'!$A$6:$A$105,0))),""))</f>
        <v/>
      </c>
      <c r="E79" s="39"/>
      <c r="F79" s="39"/>
      <c r="G79" s="39"/>
      <c r="H79" s="40"/>
      <c r="I79" s="41" t="str">
        <f aca="false">IF(OR(C79="",H79=""),"",IF(H79&gt;C79,"GAP","OK"))</f>
        <v/>
      </c>
      <c r="J79" s="40"/>
      <c r="K79" s="39"/>
      <c r="L79" s="39"/>
      <c r="M79" s="39"/>
      <c r="N79" s="39"/>
      <c r="O79" s="39"/>
      <c r="P79" s="39"/>
      <c r="Q79" s="39"/>
      <c r="R79" s="43"/>
      <c r="S79" s="41" t="str">
        <f aca="true">IF(A79="","",IF(R79="","NEVER TESTED",IF(TODAY()-R79&gt;RestoreTestMaxDays,"STALE","CURRENT")))</f>
        <v/>
      </c>
      <c r="T79" s="40"/>
      <c r="U79" s="41" t="str">
        <f aca="false">IF(OR(D79="",T79=""),"",IF(T79&gt;D79,"GAP","OK"))</f>
        <v/>
      </c>
      <c r="V79" s="39"/>
    </row>
    <row r="80" customFormat="false" ht="15" hidden="false" customHeight="false" outlineLevel="0" collapsed="false">
      <c r="A80" s="39"/>
      <c r="B80" s="39"/>
      <c r="C80" s="41" t="str">
        <f aca="false">IF(B80="","",IFERROR(IF(INDEX('3 Critical Apps'!$J$6:$J$105,MATCH(B80,'3 Critical Apps'!$A$6:$A$105,0))="","",INDEX('3 Critical Apps'!$J$6:$J$105,MATCH(B80,'3 Critical Apps'!$A$6:$A$105,0))),""))</f>
        <v/>
      </c>
      <c r="D80" s="41" t="str">
        <f aca="false">IF(B80="","",IFERROR(IF(INDEX('3 Critical Apps'!$I$6:$I$105,MATCH(B80,'3 Critical Apps'!$A$6:$A$105,0))="","",INDEX('3 Critical Apps'!$I$6:$I$105,MATCH(B80,'3 Critical Apps'!$A$6:$A$105,0))),""))</f>
        <v/>
      </c>
      <c r="E80" s="39"/>
      <c r="F80" s="39"/>
      <c r="G80" s="39"/>
      <c r="H80" s="40"/>
      <c r="I80" s="41" t="str">
        <f aca="false">IF(OR(C80="",H80=""),"",IF(H80&gt;C80,"GAP","OK"))</f>
        <v/>
      </c>
      <c r="J80" s="40"/>
      <c r="K80" s="39"/>
      <c r="L80" s="39"/>
      <c r="M80" s="39"/>
      <c r="N80" s="39"/>
      <c r="O80" s="39"/>
      <c r="P80" s="39"/>
      <c r="Q80" s="39"/>
      <c r="R80" s="43"/>
      <c r="S80" s="41" t="str">
        <f aca="true">IF(A80="","",IF(R80="","NEVER TESTED",IF(TODAY()-R80&gt;RestoreTestMaxDays,"STALE","CURRENT")))</f>
        <v/>
      </c>
      <c r="T80" s="40"/>
      <c r="U80" s="41" t="str">
        <f aca="false">IF(OR(D80="",T80=""),"",IF(T80&gt;D80,"GAP","OK"))</f>
        <v/>
      </c>
      <c r="V80" s="39"/>
    </row>
    <row r="81" customFormat="false" ht="15" hidden="false" customHeight="false" outlineLevel="0" collapsed="false">
      <c r="A81" s="39"/>
      <c r="B81" s="39"/>
      <c r="C81" s="41" t="str">
        <f aca="false">IF(B81="","",IFERROR(IF(INDEX('3 Critical Apps'!$J$6:$J$105,MATCH(B81,'3 Critical Apps'!$A$6:$A$105,0))="","",INDEX('3 Critical Apps'!$J$6:$J$105,MATCH(B81,'3 Critical Apps'!$A$6:$A$105,0))),""))</f>
        <v/>
      </c>
      <c r="D81" s="41" t="str">
        <f aca="false">IF(B81="","",IFERROR(IF(INDEX('3 Critical Apps'!$I$6:$I$105,MATCH(B81,'3 Critical Apps'!$A$6:$A$105,0))="","",INDEX('3 Critical Apps'!$I$6:$I$105,MATCH(B81,'3 Critical Apps'!$A$6:$A$105,0))),""))</f>
        <v/>
      </c>
      <c r="E81" s="39"/>
      <c r="F81" s="39"/>
      <c r="G81" s="39"/>
      <c r="H81" s="40"/>
      <c r="I81" s="41" t="str">
        <f aca="false">IF(OR(C81="",H81=""),"",IF(H81&gt;C81,"GAP","OK"))</f>
        <v/>
      </c>
      <c r="J81" s="40"/>
      <c r="K81" s="39"/>
      <c r="L81" s="39"/>
      <c r="M81" s="39"/>
      <c r="N81" s="39"/>
      <c r="O81" s="39"/>
      <c r="P81" s="39"/>
      <c r="Q81" s="39"/>
      <c r="R81" s="43"/>
      <c r="S81" s="41" t="str">
        <f aca="true">IF(A81="","",IF(R81="","NEVER TESTED",IF(TODAY()-R81&gt;RestoreTestMaxDays,"STALE","CURRENT")))</f>
        <v/>
      </c>
      <c r="T81" s="40"/>
      <c r="U81" s="41" t="str">
        <f aca="false">IF(OR(D81="",T81=""),"",IF(T81&gt;D81,"GAP","OK"))</f>
        <v/>
      </c>
      <c r="V81" s="39"/>
    </row>
    <row r="82" customFormat="false" ht="15" hidden="false" customHeight="false" outlineLevel="0" collapsed="false">
      <c r="A82" s="39"/>
      <c r="B82" s="39"/>
      <c r="C82" s="41" t="str">
        <f aca="false">IF(B82="","",IFERROR(IF(INDEX('3 Critical Apps'!$J$6:$J$105,MATCH(B82,'3 Critical Apps'!$A$6:$A$105,0))="","",INDEX('3 Critical Apps'!$J$6:$J$105,MATCH(B82,'3 Critical Apps'!$A$6:$A$105,0))),""))</f>
        <v/>
      </c>
      <c r="D82" s="41" t="str">
        <f aca="false">IF(B82="","",IFERROR(IF(INDEX('3 Critical Apps'!$I$6:$I$105,MATCH(B82,'3 Critical Apps'!$A$6:$A$105,0))="","",INDEX('3 Critical Apps'!$I$6:$I$105,MATCH(B82,'3 Critical Apps'!$A$6:$A$105,0))),""))</f>
        <v/>
      </c>
      <c r="E82" s="39"/>
      <c r="F82" s="39"/>
      <c r="G82" s="39"/>
      <c r="H82" s="40"/>
      <c r="I82" s="41" t="str">
        <f aca="false">IF(OR(C82="",H82=""),"",IF(H82&gt;C82,"GAP","OK"))</f>
        <v/>
      </c>
      <c r="J82" s="40"/>
      <c r="K82" s="39"/>
      <c r="L82" s="39"/>
      <c r="M82" s="39"/>
      <c r="N82" s="39"/>
      <c r="O82" s="39"/>
      <c r="P82" s="39"/>
      <c r="Q82" s="39"/>
      <c r="R82" s="43"/>
      <c r="S82" s="41" t="str">
        <f aca="true">IF(A82="","",IF(R82="","NEVER TESTED",IF(TODAY()-R82&gt;RestoreTestMaxDays,"STALE","CURRENT")))</f>
        <v/>
      </c>
      <c r="T82" s="40"/>
      <c r="U82" s="41" t="str">
        <f aca="false">IF(OR(D82="",T82=""),"",IF(T82&gt;D82,"GAP","OK"))</f>
        <v/>
      </c>
      <c r="V82" s="39"/>
    </row>
    <row r="83" customFormat="false" ht="15" hidden="false" customHeight="false" outlineLevel="0" collapsed="false">
      <c r="A83" s="39"/>
      <c r="B83" s="39"/>
      <c r="C83" s="41" t="str">
        <f aca="false">IF(B83="","",IFERROR(IF(INDEX('3 Critical Apps'!$J$6:$J$105,MATCH(B83,'3 Critical Apps'!$A$6:$A$105,0))="","",INDEX('3 Critical Apps'!$J$6:$J$105,MATCH(B83,'3 Critical Apps'!$A$6:$A$105,0))),""))</f>
        <v/>
      </c>
      <c r="D83" s="41" t="str">
        <f aca="false">IF(B83="","",IFERROR(IF(INDEX('3 Critical Apps'!$I$6:$I$105,MATCH(B83,'3 Critical Apps'!$A$6:$A$105,0))="","",INDEX('3 Critical Apps'!$I$6:$I$105,MATCH(B83,'3 Critical Apps'!$A$6:$A$105,0))),""))</f>
        <v/>
      </c>
      <c r="E83" s="39"/>
      <c r="F83" s="39"/>
      <c r="G83" s="39"/>
      <c r="H83" s="40"/>
      <c r="I83" s="41" t="str">
        <f aca="false">IF(OR(C83="",H83=""),"",IF(H83&gt;C83,"GAP","OK"))</f>
        <v/>
      </c>
      <c r="J83" s="40"/>
      <c r="K83" s="39"/>
      <c r="L83" s="39"/>
      <c r="M83" s="39"/>
      <c r="N83" s="39"/>
      <c r="O83" s="39"/>
      <c r="P83" s="39"/>
      <c r="Q83" s="39"/>
      <c r="R83" s="43"/>
      <c r="S83" s="41" t="str">
        <f aca="true">IF(A83="","",IF(R83="","NEVER TESTED",IF(TODAY()-R83&gt;RestoreTestMaxDays,"STALE","CURRENT")))</f>
        <v/>
      </c>
      <c r="T83" s="40"/>
      <c r="U83" s="41" t="str">
        <f aca="false">IF(OR(D83="",T83=""),"",IF(T83&gt;D83,"GAP","OK"))</f>
        <v/>
      </c>
      <c r="V83" s="39"/>
    </row>
    <row r="84" customFormat="false" ht="15" hidden="false" customHeight="false" outlineLevel="0" collapsed="false">
      <c r="A84" s="39"/>
      <c r="B84" s="39"/>
      <c r="C84" s="41" t="str">
        <f aca="false">IF(B84="","",IFERROR(IF(INDEX('3 Critical Apps'!$J$6:$J$105,MATCH(B84,'3 Critical Apps'!$A$6:$A$105,0))="","",INDEX('3 Critical Apps'!$J$6:$J$105,MATCH(B84,'3 Critical Apps'!$A$6:$A$105,0))),""))</f>
        <v/>
      </c>
      <c r="D84" s="41" t="str">
        <f aca="false">IF(B84="","",IFERROR(IF(INDEX('3 Critical Apps'!$I$6:$I$105,MATCH(B84,'3 Critical Apps'!$A$6:$A$105,0))="","",INDEX('3 Critical Apps'!$I$6:$I$105,MATCH(B84,'3 Critical Apps'!$A$6:$A$105,0))),""))</f>
        <v/>
      </c>
      <c r="E84" s="39"/>
      <c r="F84" s="39"/>
      <c r="G84" s="39"/>
      <c r="H84" s="40"/>
      <c r="I84" s="41" t="str">
        <f aca="false">IF(OR(C84="",H84=""),"",IF(H84&gt;C84,"GAP","OK"))</f>
        <v/>
      </c>
      <c r="J84" s="40"/>
      <c r="K84" s="39"/>
      <c r="L84" s="39"/>
      <c r="M84" s="39"/>
      <c r="N84" s="39"/>
      <c r="O84" s="39"/>
      <c r="P84" s="39"/>
      <c r="Q84" s="39"/>
      <c r="R84" s="43"/>
      <c r="S84" s="41" t="str">
        <f aca="true">IF(A84="","",IF(R84="","NEVER TESTED",IF(TODAY()-R84&gt;RestoreTestMaxDays,"STALE","CURRENT")))</f>
        <v/>
      </c>
      <c r="T84" s="40"/>
      <c r="U84" s="41" t="str">
        <f aca="false">IF(OR(D84="",T84=""),"",IF(T84&gt;D84,"GAP","OK"))</f>
        <v/>
      </c>
      <c r="V84" s="39"/>
    </row>
    <row r="85" customFormat="false" ht="15" hidden="false" customHeight="false" outlineLevel="0" collapsed="false">
      <c r="A85" s="39"/>
      <c r="B85" s="39"/>
      <c r="C85" s="41" t="str">
        <f aca="false">IF(B85="","",IFERROR(IF(INDEX('3 Critical Apps'!$J$6:$J$105,MATCH(B85,'3 Critical Apps'!$A$6:$A$105,0))="","",INDEX('3 Critical Apps'!$J$6:$J$105,MATCH(B85,'3 Critical Apps'!$A$6:$A$105,0))),""))</f>
        <v/>
      </c>
      <c r="D85" s="41" t="str">
        <f aca="false">IF(B85="","",IFERROR(IF(INDEX('3 Critical Apps'!$I$6:$I$105,MATCH(B85,'3 Critical Apps'!$A$6:$A$105,0))="","",INDEX('3 Critical Apps'!$I$6:$I$105,MATCH(B85,'3 Critical Apps'!$A$6:$A$105,0))),""))</f>
        <v/>
      </c>
      <c r="E85" s="39"/>
      <c r="F85" s="39"/>
      <c r="G85" s="39"/>
      <c r="H85" s="40"/>
      <c r="I85" s="41" t="str">
        <f aca="false">IF(OR(C85="",H85=""),"",IF(H85&gt;C85,"GAP","OK"))</f>
        <v/>
      </c>
      <c r="J85" s="40"/>
      <c r="K85" s="39"/>
      <c r="L85" s="39"/>
      <c r="M85" s="39"/>
      <c r="N85" s="39"/>
      <c r="O85" s="39"/>
      <c r="P85" s="39"/>
      <c r="Q85" s="39"/>
      <c r="R85" s="43"/>
      <c r="S85" s="41" t="str">
        <f aca="true">IF(A85="","",IF(R85="","NEVER TESTED",IF(TODAY()-R85&gt;RestoreTestMaxDays,"STALE","CURRENT")))</f>
        <v/>
      </c>
      <c r="T85" s="40"/>
      <c r="U85" s="41" t="str">
        <f aca="false">IF(OR(D85="",T85=""),"",IF(T85&gt;D85,"GAP","OK"))</f>
        <v/>
      </c>
      <c r="V85" s="39"/>
    </row>
    <row r="86" customFormat="false" ht="15" hidden="false" customHeight="false" outlineLevel="0" collapsed="false">
      <c r="A86" s="39"/>
      <c r="B86" s="39"/>
      <c r="C86" s="41" t="str">
        <f aca="false">IF(B86="","",IFERROR(IF(INDEX('3 Critical Apps'!$J$6:$J$105,MATCH(B86,'3 Critical Apps'!$A$6:$A$105,0))="","",INDEX('3 Critical Apps'!$J$6:$J$105,MATCH(B86,'3 Critical Apps'!$A$6:$A$105,0))),""))</f>
        <v/>
      </c>
      <c r="D86" s="41" t="str">
        <f aca="false">IF(B86="","",IFERROR(IF(INDEX('3 Critical Apps'!$I$6:$I$105,MATCH(B86,'3 Critical Apps'!$A$6:$A$105,0))="","",INDEX('3 Critical Apps'!$I$6:$I$105,MATCH(B86,'3 Critical Apps'!$A$6:$A$105,0))),""))</f>
        <v/>
      </c>
      <c r="E86" s="39"/>
      <c r="F86" s="39"/>
      <c r="G86" s="39"/>
      <c r="H86" s="40"/>
      <c r="I86" s="41" t="str">
        <f aca="false">IF(OR(C86="",H86=""),"",IF(H86&gt;C86,"GAP","OK"))</f>
        <v/>
      </c>
      <c r="J86" s="40"/>
      <c r="K86" s="39"/>
      <c r="L86" s="39"/>
      <c r="M86" s="39"/>
      <c r="N86" s="39"/>
      <c r="O86" s="39"/>
      <c r="P86" s="39"/>
      <c r="Q86" s="39"/>
      <c r="R86" s="43"/>
      <c r="S86" s="41" t="str">
        <f aca="true">IF(A86="","",IF(R86="","NEVER TESTED",IF(TODAY()-R86&gt;RestoreTestMaxDays,"STALE","CURRENT")))</f>
        <v/>
      </c>
      <c r="T86" s="40"/>
      <c r="U86" s="41" t="str">
        <f aca="false">IF(OR(D86="",T86=""),"",IF(T86&gt;D86,"GAP","OK"))</f>
        <v/>
      </c>
      <c r="V86" s="39"/>
    </row>
    <row r="87" customFormat="false" ht="15" hidden="false" customHeight="false" outlineLevel="0" collapsed="false">
      <c r="A87" s="39"/>
      <c r="B87" s="39"/>
      <c r="C87" s="41" t="str">
        <f aca="false">IF(B87="","",IFERROR(IF(INDEX('3 Critical Apps'!$J$6:$J$105,MATCH(B87,'3 Critical Apps'!$A$6:$A$105,0))="","",INDEX('3 Critical Apps'!$J$6:$J$105,MATCH(B87,'3 Critical Apps'!$A$6:$A$105,0))),""))</f>
        <v/>
      </c>
      <c r="D87" s="41" t="str">
        <f aca="false">IF(B87="","",IFERROR(IF(INDEX('3 Critical Apps'!$I$6:$I$105,MATCH(B87,'3 Critical Apps'!$A$6:$A$105,0))="","",INDEX('3 Critical Apps'!$I$6:$I$105,MATCH(B87,'3 Critical Apps'!$A$6:$A$105,0))),""))</f>
        <v/>
      </c>
      <c r="E87" s="39"/>
      <c r="F87" s="39"/>
      <c r="G87" s="39"/>
      <c r="H87" s="40"/>
      <c r="I87" s="41" t="str">
        <f aca="false">IF(OR(C87="",H87=""),"",IF(H87&gt;C87,"GAP","OK"))</f>
        <v/>
      </c>
      <c r="J87" s="40"/>
      <c r="K87" s="39"/>
      <c r="L87" s="39"/>
      <c r="M87" s="39"/>
      <c r="N87" s="39"/>
      <c r="O87" s="39"/>
      <c r="P87" s="39"/>
      <c r="Q87" s="39"/>
      <c r="R87" s="43"/>
      <c r="S87" s="41" t="str">
        <f aca="true">IF(A87="","",IF(R87="","NEVER TESTED",IF(TODAY()-R87&gt;RestoreTestMaxDays,"STALE","CURRENT")))</f>
        <v/>
      </c>
      <c r="T87" s="40"/>
      <c r="U87" s="41" t="str">
        <f aca="false">IF(OR(D87="",T87=""),"",IF(T87&gt;D87,"GAP","OK"))</f>
        <v/>
      </c>
      <c r="V87" s="39"/>
    </row>
    <row r="88" customFormat="false" ht="15" hidden="false" customHeight="false" outlineLevel="0" collapsed="false">
      <c r="A88" s="39"/>
      <c r="B88" s="39"/>
      <c r="C88" s="41" t="str">
        <f aca="false">IF(B88="","",IFERROR(IF(INDEX('3 Critical Apps'!$J$6:$J$105,MATCH(B88,'3 Critical Apps'!$A$6:$A$105,0))="","",INDEX('3 Critical Apps'!$J$6:$J$105,MATCH(B88,'3 Critical Apps'!$A$6:$A$105,0))),""))</f>
        <v/>
      </c>
      <c r="D88" s="41" t="str">
        <f aca="false">IF(B88="","",IFERROR(IF(INDEX('3 Critical Apps'!$I$6:$I$105,MATCH(B88,'3 Critical Apps'!$A$6:$A$105,0))="","",INDEX('3 Critical Apps'!$I$6:$I$105,MATCH(B88,'3 Critical Apps'!$A$6:$A$105,0))),""))</f>
        <v/>
      </c>
      <c r="E88" s="39"/>
      <c r="F88" s="39"/>
      <c r="G88" s="39"/>
      <c r="H88" s="40"/>
      <c r="I88" s="41" t="str">
        <f aca="false">IF(OR(C88="",H88=""),"",IF(H88&gt;C88,"GAP","OK"))</f>
        <v/>
      </c>
      <c r="J88" s="40"/>
      <c r="K88" s="39"/>
      <c r="L88" s="39"/>
      <c r="M88" s="39"/>
      <c r="N88" s="39"/>
      <c r="O88" s="39"/>
      <c r="P88" s="39"/>
      <c r="Q88" s="39"/>
      <c r="R88" s="43"/>
      <c r="S88" s="41" t="str">
        <f aca="true">IF(A88="","",IF(R88="","NEVER TESTED",IF(TODAY()-R88&gt;RestoreTestMaxDays,"STALE","CURRENT")))</f>
        <v/>
      </c>
      <c r="T88" s="40"/>
      <c r="U88" s="41" t="str">
        <f aca="false">IF(OR(D88="",T88=""),"",IF(T88&gt;D88,"GAP","OK"))</f>
        <v/>
      </c>
      <c r="V88" s="39"/>
    </row>
    <row r="89" customFormat="false" ht="15" hidden="false" customHeight="false" outlineLevel="0" collapsed="false">
      <c r="A89" s="39"/>
      <c r="B89" s="39"/>
      <c r="C89" s="41" t="str">
        <f aca="false">IF(B89="","",IFERROR(IF(INDEX('3 Critical Apps'!$J$6:$J$105,MATCH(B89,'3 Critical Apps'!$A$6:$A$105,0))="","",INDEX('3 Critical Apps'!$J$6:$J$105,MATCH(B89,'3 Critical Apps'!$A$6:$A$105,0))),""))</f>
        <v/>
      </c>
      <c r="D89" s="41" t="str">
        <f aca="false">IF(B89="","",IFERROR(IF(INDEX('3 Critical Apps'!$I$6:$I$105,MATCH(B89,'3 Critical Apps'!$A$6:$A$105,0))="","",INDEX('3 Critical Apps'!$I$6:$I$105,MATCH(B89,'3 Critical Apps'!$A$6:$A$105,0))),""))</f>
        <v/>
      </c>
      <c r="E89" s="39"/>
      <c r="F89" s="39"/>
      <c r="G89" s="39"/>
      <c r="H89" s="40"/>
      <c r="I89" s="41" t="str">
        <f aca="false">IF(OR(C89="",H89=""),"",IF(H89&gt;C89,"GAP","OK"))</f>
        <v/>
      </c>
      <c r="J89" s="40"/>
      <c r="K89" s="39"/>
      <c r="L89" s="39"/>
      <c r="M89" s="39"/>
      <c r="N89" s="39"/>
      <c r="O89" s="39"/>
      <c r="P89" s="39"/>
      <c r="Q89" s="39"/>
      <c r="R89" s="43"/>
      <c r="S89" s="41" t="str">
        <f aca="true">IF(A89="","",IF(R89="","NEVER TESTED",IF(TODAY()-R89&gt;RestoreTestMaxDays,"STALE","CURRENT")))</f>
        <v/>
      </c>
      <c r="T89" s="40"/>
      <c r="U89" s="41" t="str">
        <f aca="false">IF(OR(D89="",T89=""),"",IF(T89&gt;D89,"GAP","OK"))</f>
        <v/>
      </c>
      <c r="V89" s="39"/>
    </row>
    <row r="90" customFormat="false" ht="15" hidden="false" customHeight="false" outlineLevel="0" collapsed="false">
      <c r="A90" s="39"/>
      <c r="B90" s="39"/>
      <c r="C90" s="41" t="str">
        <f aca="false">IF(B90="","",IFERROR(IF(INDEX('3 Critical Apps'!$J$6:$J$105,MATCH(B90,'3 Critical Apps'!$A$6:$A$105,0))="","",INDEX('3 Critical Apps'!$J$6:$J$105,MATCH(B90,'3 Critical Apps'!$A$6:$A$105,0))),""))</f>
        <v/>
      </c>
      <c r="D90" s="41" t="str">
        <f aca="false">IF(B90="","",IFERROR(IF(INDEX('3 Critical Apps'!$I$6:$I$105,MATCH(B90,'3 Critical Apps'!$A$6:$A$105,0))="","",INDEX('3 Critical Apps'!$I$6:$I$105,MATCH(B90,'3 Critical Apps'!$A$6:$A$105,0))),""))</f>
        <v/>
      </c>
      <c r="E90" s="39"/>
      <c r="F90" s="39"/>
      <c r="G90" s="39"/>
      <c r="H90" s="40"/>
      <c r="I90" s="41" t="str">
        <f aca="false">IF(OR(C90="",H90=""),"",IF(H90&gt;C90,"GAP","OK"))</f>
        <v/>
      </c>
      <c r="J90" s="40"/>
      <c r="K90" s="39"/>
      <c r="L90" s="39"/>
      <c r="M90" s="39"/>
      <c r="N90" s="39"/>
      <c r="O90" s="39"/>
      <c r="P90" s="39"/>
      <c r="Q90" s="39"/>
      <c r="R90" s="43"/>
      <c r="S90" s="41" t="str">
        <f aca="true">IF(A90="","",IF(R90="","NEVER TESTED",IF(TODAY()-R90&gt;RestoreTestMaxDays,"STALE","CURRENT")))</f>
        <v/>
      </c>
      <c r="T90" s="40"/>
      <c r="U90" s="41" t="str">
        <f aca="false">IF(OR(D90="",T90=""),"",IF(T90&gt;D90,"GAP","OK"))</f>
        <v/>
      </c>
      <c r="V90" s="39"/>
    </row>
    <row r="91" customFormat="false" ht="15" hidden="false" customHeight="false" outlineLevel="0" collapsed="false">
      <c r="A91" s="39"/>
      <c r="B91" s="39"/>
      <c r="C91" s="41" t="str">
        <f aca="false">IF(B91="","",IFERROR(IF(INDEX('3 Critical Apps'!$J$6:$J$105,MATCH(B91,'3 Critical Apps'!$A$6:$A$105,0))="","",INDEX('3 Critical Apps'!$J$6:$J$105,MATCH(B91,'3 Critical Apps'!$A$6:$A$105,0))),""))</f>
        <v/>
      </c>
      <c r="D91" s="41" t="str">
        <f aca="false">IF(B91="","",IFERROR(IF(INDEX('3 Critical Apps'!$I$6:$I$105,MATCH(B91,'3 Critical Apps'!$A$6:$A$105,0))="","",INDEX('3 Critical Apps'!$I$6:$I$105,MATCH(B91,'3 Critical Apps'!$A$6:$A$105,0))),""))</f>
        <v/>
      </c>
      <c r="E91" s="39"/>
      <c r="F91" s="39"/>
      <c r="G91" s="39"/>
      <c r="H91" s="40"/>
      <c r="I91" s="41" t="str">
        <f aca="false">IF(OR(C91="",H91=""),"",IF(H91&gt;C91,"GAP","OK"))</f>
        <v/>
      </c>
      <c r="J91" s="40"/>
      <c r="K91" s="39"/>
      <c r="L91" s="39"/>
      <c r="M91" s="39"/>
      <c r="N91" s="39"/>
      <c r="O91" s="39"/>
      <c r="P91" s="39"/>
      <c r="Q91" s="39"/>
      <c r="R91" s="43"/>
      <c r="S91" s="41" t="str">
        <f aca="true">IF(A91="","",IF(R91="","NEVER TESTED",IF(TODAY()-R91&gt;RestoreTestMaxDays,"STALE","CURRENT")))</f>
        <v/>
      </c>
      <c r="T91" s="40"/>
      <c r="U91" s="41" t="str">
        <f aca="false">IF(OR(D91="",T91=""),"",IF(T91&gt;D91,"GAP","OK"))</f>
        <v/>
      </c>
      <c r="V91" s="39"/>
    </row>
    <row r="92" customFormat="false" ht="15" hidden="false" customHeight="false" outlineLevel="0" collapsed="false">
      <c r="A92" s="39"/>
      <c r="B92" s="39"/>
      <c r="C92" s="41" t="str">
        <f aca="false">IF(B92="","",IFERROR(IF(INDEX('3 Critical Apps'!$J$6:$J$105,MATCH(B92,'3 Critical Apps'!$A$6:$A$105,0))="","",INDEX('3 Critical Apps'!$J$6:$J$105,MATCH(B92,'3 Critical Apps'!$A$6:$A$105,0))),""))</f>
        <v/>
      </c>
      <c r="D92" s="41" t="str">
        <f aca="false">IF(B92="","",IFERROR(IF(INDEX('3 Critical Apps'!$I$6:$I$105,MATCH(B92,'3 Critical Apps'!$A$6:$A$105,0))="","",INDEX('3 Critical Apps'!$I$6:$I$105,MATCH(B92,'3 Critical Apps'!$A$6:$A$105,0))),""))</f>
        <v/>
      </c>
      <c r="E92" s="39"/>
      <c r="F92" s="39"/>
      <c r="G92" s="39"/>
      <c r="H92" s="40"/>
      <c r="I92" s="41" t="str">
        <f aca="false">IF(OR(C92="",H92=""),"",IF(H92&gt;C92,"GAP","OK"))</f>
        <v/>
      </c>
      <c r="J92" s="40"/>
      <c r="K92" s="39"/>
      <c r="L92" s="39"/>
      <c r="M92" s="39"/>
      <c r="N92" s="39"/>
      <c r="O92" s="39"/>
      <c r="P92" s="39"/>
      <c r="Q92" s="39"/>
      <c r="R92" s="43"/>
      <c r="S92" s="41" t="str">
        <f aca="true">IF(A92="","",IF(R92="","NEVER TESTED",IF(TODAY()-R92&gt;RestoreTestMaxDays,"STALE","CURRENT")))</f>
        <v/>
      </c>
      <c r="T92" s="40"/>
      <c r="U92" s="41" t="str">
        <f aca="false">IF(OR(D92="",T92=""),"",IF(T92&gt;D92,"GAP","OK"))</f>
        <v/>
      </c>
      <c r="V92" s="39"/>
    </row>
    <row r="93" customFormat="false" ht="15" hidden="false" customHeight="false" outlineLevel="0" collapsed="false">
      <c r="A93" s="39"/>
      <c r="B93" s="39"/>
      <c r="C93" s="41" t="str">
        <f aca="false">IF(B93="","",IFERROR(IF(INDEX('3 Critical Apps'!$J$6:$J$105,MATCH(B93,'3 Critical Apps'!$A$6:$A$105,0))="","",INDEX('3 Critical Apps'!$J$6:$J$105,MATCH(B93,'3 Critical Apps'!$A$6:$A$105,0))),""))</f>
        <v/>
      </c>
      <c r="D93" s="41" t="str">
        <f aca="false">IF(B93="","",IFERROR(IF(INDEX('3 Critical Apps'!$I$6:$I$105,MATCH(B93,'3 Critical Apps'!$A$6:$A$105,0))="","",INDEX('3 Critical Apps'!$I$6:$I$105,MATCH(B93,'3 Critical Apps'!$A$6:$A$105,0))),""))</f>
        <v/>
      </c>
      <c r="E93" s="39"/>
      <c r="F93" s="39"/>
      <c r="G93" s="39"/>
      <c r="H93" s="40"/>
      <c r="I93" s="41" t="str">
        <f aca="false">IF(OR(C93="",H93=""),"",IF(H93&gt;C93,"GAP","OK"))</f>
        <v/>
      </c>
      <c r="J93" s="40"/>
      <c r="K93" s="39"/>
      <c r="L93" s="39"/>
      <c r="M93" s="39"/>
      <c r="N93" s="39"/>
      <c r="O93" s="39"/>
      <c r="P93" s="39"/>
      <c r="Q93" s="39"/>
      <c r="R93" s="43"/>
      <c r="S93" s="41" t="str">
        <f aca="true">IF(A93="","",IF(R93="","NEVER TESTED",IF(TODAY()-R93&gt;RestoreTestMaxDays,"STALE","CURRENT")))</f>
        <v/>
      </c>
      <c r="T93" s="40"/>
      <c r="U93" s="41" t="str">
        <f aca="false">IF(OR(D93="",T93=""),"",IF(T93&gt;D93,"GAP","OK"))</f>
        <v/>
      </c>
      <c r="V93" s="39"/>
    </row>
    <row r="94" customFormat="false" ht="15" hidden="false" customHeight="false" outlineLevel="0" collapsed="false">
      <c r="A94" s="39"/>
      <c r="B94" s="39"/>
      <c r="C94" s="41" t="str">
        <f aca="false">IF(B94="","",IFERROR(IF(INDEX('3 Critical Apps'!$J$6:$J$105,MATCH(B94,'3 Critical Apps'!$A$6:$A$105,0))="","",INDEX('3 Critical Apps'!$J$6:$J$105,MATCH(B94,'3 Critical Apps'!$A$6:$A$105,0))),""))</f>
        <v/>
      </c>
      <c r="D94" s="41" t="str">
        <f aca="false">IF(B94="","",IFERROR(IF(INDEX('3 Critical Apps'!$I$6:$I$105,MATCH(B94,'3 Critical Apps'!$A$6:$A$105,0))="","",INDEX('3 Critical Apps'!$I$6:$I$105,MATCH(B94,'3 Critical Apps'!$A$6:$A$105,0))),""))</f>
        <v/>
      </c>
      <c r="E94" s="39"/>
      <c r="F94" s="39"/>
      <c r="G94" s="39"/>
      <c r="H94" s="40"/>
      <c r="I94" s="41" t="str">
        <f aca="false">IF(OR(C94="",H94=""),"",IF(H94&gt;C94,"GAP","OK"))</f>
        <v/>
      </c>
      <c r="J94" s="40"/>
      <c r="K94" s="39"/>
      <c r="L94" s="39"/>
      <c r="M94" s="39"/>
      <c r="N94" s="39"/>
      <c r="O94" s="39"/>
      <c r="P94" s="39"/>
      <c r="Q94" s="39"/>
      <c r="R94" s="43"/>
      <c r="S94" s="41" t="str">
        <f aca="true">IF(A94="","",IF(R94="","NEVER TESTED",IF(TODAY()-R94&gt;RestoreTestMaxDays,"STALE","CURRENT")))</f>
        <v/>
      </c>
      <c r="T94" s="40"/>
      <c r="U94" s="41" t="str">
        <f aca="false">IF(OR(D94="",T94=""),"",IF(T94&gt;D94,"GAP","OK"))</f>
        <v/>
      </c>
      <c r="V94" s="39"/>
    </row>
    <row r="95" customFormat="false" ht="15" hidden="false" customHeight="false" outlineLevel="0" collapsed="false">
      <c r="A95" s="39"/>
      <c r="B95" s="39"/>
      <c r="C95" s="41" t="str">
        <f aca="false">IF(B95="","",IFERROR(IF(INDEX('3 Critical Apps'!$J$6:$J$105,MATCH(B95,'3 Critical Apps'!$A$6:$A$105,0))="","",INDEX('3 Critical Apps'!$J$6:$J$105,MATCH(B95,'3 Critical Apps'!$A$6:$A$105,0))),""))</f>
        <v/>
      </c>
      <c r="D95" s="41" t="str">
        <f aca="false">IF(B95="","",IFERROR(IF(INDEX('3 Critical Apps'!$I$6:$I$105,MATCH(B95,'3 Critical Apps'!$A$6:$A$105,0))="","",INDEX('3 Critical Apps'!$I$6:$I$105,MATCH(B95,'3 Critical Apps'!$A$6:$A$105,0))),""))</f>
        <v/>
      </c>
      <c r="E95" s="39"/>
      <c r="F95" s="39"/>
      <c r="G95" s="39"/>
      <c r="H95" s="40"/>
      <c r="I95" s="41" t="str">
        <f aca="false">IF(OR(C95="",H95=""),"",IF(H95&gt;C95,"GAP","OK"))</f>
        <v/>
      </c>
      <c r="J95" s="40"/>
      <c r="K95" s="39"/>
      <c r="L95" s="39"/>
      <c r="M95" s="39"/>
      <c r="N95" s="39"/>
      <c r="O95" s="39"/>
      <c r="P95" s="39"/>
      <c r="Q95" s="39"/>
      <c r="R95" s="43"/>
      <c r="S95" s="41" t="str">
        <f aca="true">IF(A95="","",IF(R95="","NEVER TESTED",IF(TODAY()-R95&gt;RestoreTestMaxDays,"STALE","CURRENT")))</f>
        <v/>
      </c>
      <c r="T95" s="40"/>
      <c r="U95" s="41" t="str">
        <f aca="false">IF(OR(D95="",T95=""),"",IF(T95&gt;D95,"GAP","OK"))</f>
        <v/>
      </c>
      <c r="V95" s="39"/>
    </row>
    <row r="96" customFormat="false" ht="15" hidden="false" customHeight="false" outlineLevel="0" collapsed="false">
      <c r="A96" s="39"/>
      <c r="B96" s="39"/>
      <c r="C96" s="41" t="str">
        <f aca="false">IF(B96="","",IFERROR(IF(INDEX('3 Critical Apps'!$J$6:$J$105,MATCH(B96,'3 Critical Apps'!$A$6:$A$105,0))="","",INDEX('3 Critical Apps'!$J$6:$J$105,MATCH(B96,'3 Critical Apps'!$A$6:$A$105,0))),""))</f>
        <v/>
      </c>
      <c r="D96" s="41" t="str">
        <f aca="false">IF(B96="","",IFERROR(IF(INDEX('3 Critical Apps'!$I$6:$I$105,MATCH(B96,'3 Critical Apps'!$A$6:$A$105,0))="","",INDEX('3 Critical Apps'!$I$6:$I$105,MATCH(B96,'3 Critical Apps'!$A$6:$A$105,0))),""))</f>
        <v/>
      </c>
      <c r="E96" s="39"/>
      <c r="F96" s="39"/>
      <c r="G96" s="39"/>
      <c r="H96" s="40"/>
      <c r="I96" s="41" t="str">
        <f aca="false">IF(OR(C96="",H96=""),"",IF(H96&gt;C96,"GAP","OK"))</f>
        <v/>
      </c>
      <c r="J96" s="40"/>
      <c r="K96" s="39"/>
      <c r="L96" s="39"/>
      <c r="M96" s="39"/>
      <c r="N96" s="39"/>
      <c r="O96" s="39"/>
      <c r="P96" s="39"/>
      <c r="Q96" s="39"/>
      <c r="R96" s="43"/>
      <c r="S96" s="41" t="str">
        <f aca="true">IF(A96="","",IF(R96="","NEVER TESTED",IF(TODAY()-R96&gt;RestoreTestMaxDays,"STALE","CURRENT")))</f>
        <v/>
      </c>
      <c r="T96" s="40"/>
      <c r="U96" s="41" t="str">
        <f aca="false">IF(OR(D96="",T96=""),"",IF(T96&gt;D96,"GAP","OK"))</f>
        <v/>
      </c>
      <c r="V96" s="39"/>
    </row>
    <row r="97" customFormat="false" ht="15" hidden="false" customHeight="false" outlineLevel="0" collapsed="false">
      <c r="A97" s="39"/>
      <c r="B97" s="39"/>
      <c r="C97" s="41" t="str">
        <f aca="false">IF(B97="","",IFERROR(IF(INDEX('3 Critical Apps'!$J$6:$J$105,MATCH(B97,'3 Critical Apps'!$A$6:$A$105,0))="","",INDEX('3 Critical Apps'!$J$6:$J$105,MATCH(B97,'3 Critical Apps'!$A$6:$A$105,0))),""))</f>
        <v/>
      </c>
      <c r="D97" s="41" t="str">
        <f aca="false">IF(B97="","",IFERROR(IF(INDEX('3 Critical Apps'!$I$6:$I$105,MATCH(B97,'3 Critical Apps'!$A$6:$A$105,0))="","",INDEX('3 Critical Apps'!$I$6:$I$105,MATCH(B97,'3 Critical Apps'!$A$6:$A$105,0))),""))</f>
        <v/>
      </c>
      <c r="E97" s="39"/>
      <c r="F97" s="39"/>
      <c r="G97" s="39"/>
      <c r="H97" s="40"/>
      <c r="I97" s="41" t="str">
        <f aca="false">IF(OR(C97="",H97=""),"",IF(H97&gt;C97,"GAP","OK"))</f>
        <v/>
      </c>
      <c r="J97" s="40"/>
      <c r="K97" s="39"/>
      <c r="L97" s="39"/>
      <c r="M97" s="39"/>
      <c r="N97" s="39"/>
      <c r="O97" s="39"/>
      <c r="P97" s="39"/>
      <c r="Q97" s="39"/>
      <c r="R97" s="43"/>
      <c r="S97" s="41" t="str">
        <f aca="true">IF(A97="","",IF(R97="","NEVER TESTED",IF(TODAY()-R97&gt;RestoreTestMaxDays,"STALE","CURRENT")))</f>
        <v/>
      </c>
      <c r="T97" s="40"/>
      <c r="U97" s="41" t="str">
        <f aca="false">IF(OR(D97="",T97=""),"",IF(T97&gt;D97,"GAP","OK"))</f>
        <v/>
      </c>
      <c r="V97" s="39"/>
    </row>
    <row r="98" customFormat="false" ht="15" hidden="false" customHeight="false" outlineLevel="0" collapsed="false">
      <c r="A98" s="39"/>
      <c r="B98" s="39"/>
      <c r="C98" s="41" t="str">
        <f aca="false">IF(B98="","",IFERROR(IF(INDEX('3 Critical Apps'!$J$6:$J$105,MATCH(B98,'3 Critical Apps'!$A$6:$A$105,0))="","",INDEX('3 Critical Apps'!$J$6:$J$105,MATCH(B98,'3 Critical Apps'!$A$6:$A$105,0))),""))</f>
        <v/>
      </c>
      <c r="D98" s="41" t="str">
        <f aca="false">IF(B98="","",IFERROR(IF(INDEX('3 Critical Apps'!$I$6:$I$105,MATCH(B98,'3 Critical Apps'!$A$6:$A$105,0))="","",INDEX('3 Critical Apps'!$I$6:$I$105,MATCH(B98,'3 Critical Apps'!$A$6:$A$105,0))),""))</f>
        <v/>
      </c>
      <c r="E98" s="39"/>
      <c r="F98" s="39"/>
      <c r="G98" s="39"/>
      <c r="H98" s="40"/>
      <c r="I98" s="41" t="str">
        <f aca="false">IF(OR(C98="",H98=""),"",IF(H98&gt;C98,"GAP","OK"))</f>
        <v/>
      </c>
      <c r="J98" s="40"/>
      <c r="K98" s="39"/>
      <c r="L98" s="39"/>
      <c r="M98" s="39"/>
      <c r="N98" s="39"/>
      <c r="O98" s="39"/>
      <c r="P98" s="39"/>
      <c r="Q98" s="39"/>
      <c r="R98" s="43"/>
      <c r="S98" s="41" t="str">
        <f aca="true">IF(A98="","",IF(R98="","NEVER TESTED",IF(TODAY()-R98&gt;RestoreTestMaxDays,"STALE","CURRENT")))</f>
        <v/>
      </c>
      <c r="T98" s="40"/>
      <c r="U98" s="41" t="str">
        <f aca="false">IF(OR(D98="",T98=""),"",IF(T98&gt;D98,"GAP","OK"))</f>
        <v/>
      </c>
      <c r="V98" s="39"/>
    </row>
    <row r="99" customFormat="false" ht="15" hidden="false" customHeight="false" outlineLevel="0" collapsed="false">
      <c r="A99" s="39"/>
      <c r="B99" s="39"/>
      <c r="C99" s="41" t="str">
        <f aca="false">IF(B99="","",IFERROR(IF(INDEX('3 Critical Apps'!$J$6:$J$105,MATCH(B99,'3 Critical Apps'!$A$6:$A$105,0))="","",INDEX('3 Critical Apps'!$J$6:$J$105,MATCH(B99,'3 Critical Apps'!$A$6:$A$105,0))),""))</f>
        <v/>
      </c>
      <c r="D99" s="41" t="str">
        <f aca="false">IF(B99="","",IFERROR(IF(INDEX('3 Critical Apps'!$I$6:$I$105,MATCH(B99,'3 Critical Apps'!$A$6:$A$105,0))="","",INDEX('3 Critical Apps'!$I$6:$I$105,MATCH(B99,'3 Critical Apps'!$A$6:$A$105,0))),""))</f>
        <v/>
      </c>
      <c r="E99" s="39"/>
      <c r="F99" s="39"/>
      <c r="G99" s="39"/>
      <c r="H99" s="40"/>
      <c r="I99" s="41" t="str">
        <f aca="false">IF(OR(C99="",H99=""),"",IF(H99&gt;C99,"GAP","OK"))</f>
        <v/>
      </c>
      <c r="J99" s="40"/>
      <c r="K99" s="39"/>
      <c r="L99" s="39"/>
      <c r="M99" s="39"/>
      <c r="N99" s="39"/>
      <c r="O99" s="39"/>
      <c r="P99" s="39"/>
      <c r="Q99" s="39"/>
      <c r="R99" s="43"/>
      <c r="S99" s="41" t="str">
        <f aca="true">IF(A99="","",IF(R99="","NEVER TESTED",IF(TODAY()-R99&gt;RestoreTestMaxDays,"STALE","CURRENT")))</f>
        <v/>
      </c>
      <c r="T99" s="40"/>
      <c r="U99" s="41" t="str">
        <f aca="false">IF(OR(D99="",T99=""),"",IF(T99&gt;D99,"GAP","OK"))</f>
        <v/>
      </c>
      <c r="V99" s="39"/>
    </row>
    <row r="100" customFormat="false" ht="15" hidden="false" customHeight="false" outlineLevel="0" collapsed="false">
      <c r="A100" s="39"/>
      <c r="B100" s="39"/>
      <c r="C100" s="41" t="str">
        <f aca="false">IF(B100="","",IFERROR(IF(INDEX('3 Critical Apps'!$J$6:$J$105,MATCH(B100,'3 Critical Apps'!$A$6:$A$105,0))="","",INDEX('3 Critical Apps'!$J$6:$J$105,MATCH(B100,'3 Critical Apps'!$A$6:$A$105,0))),""))</f>
        <v/>
      </c>
      <c r="D100" s="41" t="str">
        <f aca="false">IF(B100="","",IFERROR(IF(INDEX('3 Critical Apps'!$I$6:$I$105,MATCH(B100,'3 Critical Apps'!$A$6:$A$105,0))="","",INDEX('3 Critical Apps'!$I$6:$I$105,MATCH(B100,'3 Critical Apps'!$A$6:$A$105,0))),""))</f>
        <v/>
      </c>
      <c r="E100" s="39"/>
      <c r="F100" s="39"/>
      <c r="G100" s="39"/>
      <c r="H100" s="40"/>
      <c r="I100" s="41" t="str">
        <f aca="false">IF(OR(C100="",H100=""),"",IF(H100&gt;C100,"GAP","OK"))</f>
        <v/>
      </c>
      <c r="J100" s="40"/>
      <c r="K100" s="39"/>
      <c r="L100" s="39"/>
      <c r="M100" s="39"/>
      <c r="N100" s="39"/>
      <c r="O100" s="39"/>
      <c r="P100" s="39"/>
      <c r="Q100" s="39"/>
      <c r="R100" s="43"/>
      <c r="S100" s="41" t="str">
        <f aca="true">IF(A100="","",IF(R100="","NEVER TESTED",IF(TODAY()-R100&gt;RestoreTestMaxDays,"STALE","CURRENT")))</f>
        <v/>
      </c>
      <c r="T100" s="40"/>
      <c r="U100" s="41" t="str">
        <f aca="false">IF(OR(D100="",T100=""),"",IF(T100&gt;D100,"GAP","OK"))</f>
        <v/>
      </c>
      <c r="V100" s="39"/>
    </row>
    <row r="101" customFormat="false" ht="15" hidden="false" customHeight="false" outlineLevel="0" collapsed="false">
      <c r="A101" s="39"/>
      <c r="B101" s="39"/>
      <c r="C101" s="41" t="str">
        <f aca="false">IF(B101="","",IFERROR(IF(INDEX('3 Critical Apps'!$J$6:$J$105,MATCH(B101,'3 Critical Apps'!$A$6:$A$105,0))="","",INDEX('3 Critical Apps'!$J$6:$J$105,MATCH(B101,'3 Critical Apps'!$A$6:$A$105,0))),""))</f>
        <v/>
      </c>
      <c r="D101" s="41" t="str">
        <f aca="false">IF(B101="","",IFERROR(IF(INDEX('3 Critical Apps'!$I$6:$I$105,MATCH(B101,'3 Critical Apps'!$A$6:$A$105,0))="","",INDEX('3 Critical Apps'!$I$6:$I$105,MATCH(B101,'3 Critical Apps'!$A$6:$A$105,0))),""))</f>
        <v/>
      </c>
      <c r="E101" s="39"/>
      <c r="F101" s="39"/>
      <c r="G101" s="39"/>
      <c r="H101" s="40"/>
      <c r="I101" s="41" t="str">
        <f aca="false">IF(OR(C101="",H101=""),"",IF(H101&gt;C101,"GAP","OK"))</f>
        <v/>
      </c>
      <c r="J101" s="40"/>
      <c r="K101" s="39"/>
      <c r="L101" s="39"/>
      <c r="M101" s="39"/>
      <c r="N101" s="39"/>
      <c r="O101" s="39"/>
      <c r="P101" s="39"/>
      <c r="Q101" s="39"/>
      <c r="R101" s="43"/>
      <c r="S101" s="41" t="str">
        <f aca="true">IF(A101="","",IF(R101="","NEVER TESTED",IF(TODAY()-R101&gt;RestoreTestMaxDays,"STALE","CURRENT")))</f>
        <v/>
      </c>
      <c r="T101" s="40"/>
      <c r="U101" s="41" t="str">
        <f aca="false">IF(OR(D101="",T101=""),"",IF(T101&gt;D101,"GAP","OK"))</f>
        <v/>
      </c>
      <c r="V101" s="39"/>
    </row>
    <row r="102" customFormat="false" ht="15" hidden="false" customHeight="false" outlineLevel="0" collapsed="false">
      <c r="A102" s="39"/>
      <c r="B102" s="39"/>
      <c r="C102" s="41" t="str">
        <f aca="false">IF(B102="","",IFERROR(IF(INDEX('3 Critical Apps'!$J$6:$J$105,MATCH(B102,'3 Critical Apps'!$A$6:$A$105,0))="","",INDEX('3 Critical Apps'!$J$6:$J$105,MATCH(B102,'3 Critical Apps'!$A$6:$A$105,0))),""))</f>
        <v/>
      </c>
      <c r="D102" s="41" t="str">
        <f aca="false">IF(B102="","",IFERROR(IF(INDEX('3 Critical Apps'!$I$6:$I$105,MATCH(B102,'3 Critical Apps'!$A$6:$A$105,0))="","",INDEX('3 Critical Apps'!$I$6:$I$105,MATCH(B102,'3 Critical Apps'!$A$6:$A$105,0))),""))</f>
        <v/>
      </c>
      <c r="E102" s="39"/>
      <c r="F102" s="39"/>
      <c r="G102" s="39"/>
      <c r="H102" s="40"/>
      <c r="I102" s="41" t="str">
        <f aca="false">IF(OR(C102="",H102=""),"",IF(H102&gt;C102,"GAP","OK"))</f>
        <v/>
      </c>
      <c r="J102" s="40"/>
      <c r="K102" s="39"/>
      <c r="L102" s="39"/>
      <c r="M102" s="39"/>
      <c r="N102" s="39"/>
      <c r="O102" s="39"/>
      <c r="P102" s="39"/>
      <c r="Q102" s="39"/>
      <c r="R102" s="43"/>
      <c r="S102" s="41" t="str">
        <f aca="true">IF(A102="","",IF(R102="","NEVER TESTED",IF(TODAY()-R102&gt;RestoreTestMaxDays,"STALE","CURRENT")))</f>
        <v/>
      </c>
      <c r="T102" s="40"/>
      <c r="U102" s="41" t="str">
        <f aca="false">IF(OR(D102="",T102=""),"",IF(T102&gt;D102,"GAP","OK"))</f>
        <v/>
      </c>
      <c r="V102" s="39"/>
    </row>
    <row r="103" customFormat="false" ht="15" hidden="false" customHeight="false" outlineLevel="0" collapsed="false">
      <c r="A103" s="39"/>
      <c r="B103" s="39"/>
      <c r="C103" s="41" t="str">
        <f aca="false">IF(B103="","",IFERROR(IF(INDEX('3 Critical Apps'!$J$6:$J$105,MATCH(B103,'3 Critical Apps'!$A$6:$A$105,0))="","",INDEX('3 Critical Apps'!$J$6:$J$105,MATCH(B103,'3 Critical Apps'!$A$6:$A$105,0))),""))</f>
        <v/>
      </c>
      <c r="D103" s="41" t="str">
        <f aca="false">IF(B103="","",IFERROR(IF(INDEX('3 Critical Apps'!$I$6:$I$105,MATCH(B103,'3 Critical Apps'!$A$6:$A$105,0))="","",INDEX('3 Critical Apps'!$I$6:$I$105,MATCH(B103,'3 Critical Apps'!$A$6:$A$105,0))),""))</f>
        <v/>
      </c>
      <c r="E103" s="39"/>
      <c r="F103" s="39"/>
      <c r="G103" s="39"/>
      <c r="H103" s="40"/>
      <c r="I103" s="41" t="str">
        <f aca="false">IF(OR(C103="",H103=""),"",IF(H103&gt;C103,"GAP","OK"))</f>
        <v/>
      </c>
      <c r="J103" s="40"/>
      <c r="K103" s="39"/>
      <c r="L103" s="39"/>
      <c r="M103" s="39"/>
      <c r="N103" s="39"/>
      <c r="O103" s="39"/>
      <c r="P103" s="39"/>
      <c r="Q103" s="39"/>
      <c r="R103" s="43"/>
      <c r="S103" s="41" t="str">
        <f aca="true">IF(A103="","",IF(R103="","NEVER TESTED",IF(TODAY()-R103&gt;RestoreTestMaxDays,"STALE","CURRENT")))</f>
        <v/>
      </c>
      <c r="T103" s="40"/>
      <c r="U103" s="41" t="str">
        <f aca="false">IF(OR(D103="",T103=""),"",IF(T103&gt;D103,"GAP","OK"))</f>
        <v/>
      </c>
      <c r="V103" s="39"/>
    </row>
    <row r="104" customFormat="false" ht="15" hidden="false" customHeight="false" outlineLevel="0" collapsed="false">
      <c r="A104" s="39"/>
      <c r="B104" s="39"/>
      <c r="C104" s="41" t="str">
        <f aca="false">IF(B104="","",IFERROR(IF(INDEX('3 Critical Apps'!$J$6:$J$105,MATCH(B104,'3 Critical Apps'!$A$6:$A$105,0))="","",INDEX('3 Critical Apps'!$J$6:$J$105,MATCH(B104,'3 Critical Apps'!$A$6:$A$105,0))),""))</f>
        <v/>
      </c>
      <c r="D104" s="41" t="str">
        <f aca="false">IF(B104="","",IFERROR(IF(INDEX('3 Critical Apps'!$I$6:$I$105,MATCH(B104,'3 Critical Apps'!$A$6:$A$105,0))="","",INDEX('3 Critical Apps'!$I$6:$I$105,MATCH(B104,'3 Critical Apps'!$A$6:$A$105,0))),""))</f>
        <v/>
      </c>
      <c r="E104" s="39"/>
      <c r="F104" s="39"/>
      <c r="G104" s="39"/>
      <c r="H104" s="40"/>
      <c r="I104" s="41" t="str">
        <f aca="false">IF(OR(C104="",H104=""),"",IF(H104&gt;C104,"GAP","OK"))</f>
        <v/>
      </c>
      <c r="J104" s="40"/>
      <c r="K104" s="39"/>
      <c r="L104" s="39"/>
      <c r="M104" s="39"/>
      <c r="N104" s="39"/>
      <c r="O104" s="39"/>
      <c r="P104" s="39"/>
      <c r="Q104" s="39"/>
      <c r="R104" s="43"/>
      <c r="S104" s="41" t="str">
        <f aca="true">IF(A104="","",IF(R104="","NEVER TESTED",IF(TODAY()-R104&gt;RestoreTestMaxDays,"STALE","CURRENT")))</f>
        <v/>
      </c>
      <c r="T104" s="40"/>
      <c r="U104" s="41" t="str">
        <f aca="false">IF(OR(D104="",T104=""),"",IF(T104&gt;D104,"GAP","OK"))</f>
        <v/>
      </c>
      <c r="V104" s="39"/>
    </row>
    <row r="105" customFormat="false" ht="15" hidden="false" customHeight="false" outlineLevel="0" collapsed="false">
      <c r="A105" s="39"/>
      <c r="B105" s="39"/>
      <c r="C105" s="41" t="str">
        <f aca="false">IF(B105="","",IFERROR(IF(INDEX('3 Critical Apps'!$J$6:$J$105,MATCH(B105,'3 Critical Apps'!$A$6:$A$105,0))="","",INDEX('3 Critical Apps'!$J$6:$J$105,MATCH(B105,'3 Critical Apps'!$A$6:$A$105,0))),""))</f>
        <v/>
      </c>
      <c r="D105" s="41" t="str">
        <f aca="false">IF(B105="","",IFERROR(IF(INDEX('3 Critical Apps'!$I$6:$I$105,MATCH(B105,'3 Critical Apps'!$A$6:$A$105,0))="","",INDEX('3 Critical Apps'!$I$6:$I$105,MATCH(B105,'3 Critical Apps'!$A$6:$A$105,0))),""))</f>
        <v/>
      </c>
      <c r="E105" s="39"/>
      <c r="F105" s="39"/>
      <c r="G105" s="39"/>
      <c r="H105" s="40"/>
      <c r="I105" s="41" t="str">
        <f aca="false">IF(OR(C105="",H105=""),"",IF(H105&gt;C105,"GAP","OK"))</f>
        <v/>
      </c>
      <c r="J105" s="40"/>
      <c r="K105" s="39"/>
      <c r="L105" s="39"/>
      <c r="M105" s="39"/>
      <c r="N105" s="39"/>
      <c r="O105" s="39"/>
      <c r="P105" s="39"/>
      <c r="Q105" s="39"/>
      <c r="R105" s="43"/>
      <c r="S105" s="41" t="str">
        <f aca="true">IF(A105="","",IF(R105="","NEVER TESTED",IF(TODAY()-R105&gt;RestoreTestMaxDays,"STALE","CURRENT")))</f>
        <v/>
      </c>
      <c r="T105" s="40"/>
      <c r="U105" s="41" t="str">
        <f aca="false">IF(OR(D105="",T105=""),"",IF(T105&gt;D105,"GAP","OK"))</f>
        <v/>
      </c>
      <c r="V105" s="39"/>
    </row>
  </sheetData>
  <mergeCells count="2">
    <mergeCell ref="A1:V1"/>
    <mergeCell ref="A2:V2"/>
  </mergeCells>
  <conditionalFormatting sqref="I5:I105">
    <cfRule type="expression" priority="2" aboveAverage="0" equalAverage="0" bottom="0" percent="0" rank="0" text="" dxfId="0">
      <formula>OR(I5="GAP")</formula>
    </cfRule>
    <cfRule type="expression" priority="3" aboveAverage="0" equalAverage="0" bottom="0" percent="0" rank="0" text="" dxfId="1">
      <formula>OR(I5="OK")</formula>
    </cfRule>
  </conditionalFormatting>
  <conditionalFormatting sqref="U5:U105">
    <cfRule type="expression" priority="4" aboveAverage="0" equalAverage="0" bottom="0" percent="0" rank="0" text="" dxfId="0">
      <formula>OR(U5="GAP")</formula>
    </cfRule>
    <cfRule type="expression" priority="5" aboveAverage="0" equalAverage="0" bottom="0" percent="0" rank="0" text="" dxfId="1">
      <formula>OR(U5="OK")</formula>
    </cfRule>
  </conditionalFormatting>
  <conditionalFormatting sqref="S5:S105">
    <cfRule type="expression" priority="6" aboveAverage="0" equalAverage="0" bottom="0" percent="0" rank="0" text="" dxfId="0">
      <formula>OR(S5="NEVER TESTED",S5="STALE")</formula>
    </cfRule>
    <cfRule type="expression" priority="7" aboveAverage="0" equalAverage="0" bottom="0" percent="0" rank="0" text="" dxfId="1">
      <formula>OR(S5="CURRENT")</formula>
    </cfRule>
  </conditionalFormatting>
  <dataValidations count="10">
    <dataValidation allowBlank="true" error="Enter a number (hours, days, or GB as the header says)." errorStyle="stop" errorTitle="Number required" operator="greaterThanOrEqual" showDropDown="false" showErrorMessage="true" showInputMessage="false" sqref="H5:H105 J5:J105 T5:T105" type="decimal">
      <formula1>0</formula1>
      <formula2>0</formula2>
    </dataValidation>
    <dataValidation allowBlank="true" error="Enter a date, e.g. 2026-10-22." errorStyle="stop" errorTitle="Date required" operator="greaterThan" showDropDown="false" showErrorMessage="true" showInputMessage="false" sqref="R5:R105" type="date">
      <formula1>1</formula1>
      <formula2>0</formula2>
    </dataValidation>
    <dataValidation allowBlank="true" errorStyle="stop" operator="between" showDropDown="false" showErrorMessage="false" showInputMessage="false" sqref="B5:B105" type="list">
      <formula1>AppList</formula1>
      <formula2>0</formula2>
    </dataValidation>
    <dataValidation allowBlank="true" errorStyle="stop" operator="between" showDropDown="false" showErrorMessage="false" showInputMessage="false" sqref="G5:G105" type="list">
      <formula1>BackupMethod</formula1>
      <formula2>0</formula2>
    </dataValidation>
    <dataValidation allowBlank="true" errorStyle="stop" operator="between" showDropDown="false" showErrorMessage="false" showInputMessage="false" sqref="K5:K105" type="list">
      <formula1>BackupTarget</formula1>
      <formula2>0</formula2>
    </dataValidation>
    <dataValidation allowBlank="true" errorStyle="stop" operator="between" showDropDown="false" showErrorMessage="false" showInputMessage="false" sqref="L5:L105" type="list">
      <formula1>BackupTarget</formula1>
      <formula2>0</formula2>
    </dataValidation>
    <dataValidation allowBlank="true" errorStyle="stop" operator="between" showDropDown="false" showErrorMessage="false" showInputMessage="false" sqref="M5:M105" type="list">
      <formula1>YesNo</formula1>
      <formula2>0</formula2>
    </dataValidation>
    <dataValidation allowBlank="true" errorStyle="stop" operator="between" showDropDown="false" showErrorMessage="false" showInputMessage="false" sqref="N5:N105" type="list">
      <formula1>YesNo</formula1>
      <formula2>0</formula2>
    </dataValidation>
    <dataValidation allowBlank="true" errorStyle="stop" operator="between" showDropDown="false" showErrorMessage="false" showInputMessage="false" sqref="O5:O105" type="list">
      <formula1>YesNo</formula1>
      <formula2>0</formula2>
    </dataValidation>
    <dataValidation allowBlank="true" errorStyle="stop" operator="between" showDropDown="false" showErrorMessage="false" showInputMessage="false" sqref="P5:P105" type="list">
      <formula1>YesNo</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&amp;A&amp;R&amp;8 Powered by MSP Culture  |  v1.0  |  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8FF"/>
    <pageSetUpPr fitToPage="true"/>
  </sheetPr>
  <dimension ref="A1:L1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18"/>
    <col collapsed="false" customWidth="true" hidden="false" outlineLevel="0" max="4" min="4" style="0" width="20"/>
    <col collapsed="false" customWidth="true" hidden="false" outlineLevel="0" max="5" min="5" style="0" width="9"/>
    <col collapsed="false" customWidth="true" hidden="false" outlineLevel="0" max="7" min="6" style="0" width="18"/>
    <col collapsed="false" customWidth="true" hidden="false" outlineLevel="0" max="8" min="8" style="0" width="20"/>
    <col collapsed="false" customWidth="true" hidden="false" outlineLevel="0" max="9" min="9" style="0" width="18"/>
    <col collapsed="false" customWidth="true" hidden="false" outlineLevel="0" max="11" min="10" style="0" width="12"/>
    <col collapsed="false" customWidth="true" hidden="false" outlineLevel="0" max="12" min="12" style="0" width="22"/>
  </cols>
  <sheetData>
    <row r="1" customFormat="false" ht="33.75" hidden="false" customHeight="true" outlineLevel="0" collapsed="false">
      <c r="A1" s="26" t="str">
        <f aca="false">IF(PreparedFor="","Privileged &amp; Break-Glass Access","Privileged &amp; Break-Glass Access  |  "&amp;PreparedFor)</f>
        <v>Privileged &amp; Break-Glass Access</v>
      </c>
      <c r="B1" s="26"/>
      <c r="C1" s="26"/>
      <c r="D1" s="26"/>
      <c r="E1" s="26"/>
      <c r="F1" s="26"/>
      <c r="G1" s="26"/>
      <c r="H1" s="26"/>
      <c r="I1" s="26"/>
      <c r="J1" s="26"/>
      <c r="K1" s="26"/>
      <c r="L1" s="26"/>
    </row>
    <row r="2" customFormat="false" ht="48" hidden="false" customHeight="true" outlineLevel="0" collapsed="false">
      <c r="A2" s="27" t="s">
        <v>345</v>
      </c>
      <c r="B2" s="27"/>
      <c r="C2" s="27"/>
      <c r="D2" s="27"/>
      <c r="E2" s="27"/>
      <c r="F2" s="27"/>
      <c r="G2" s="27"/>
      <c r="H2" s="27"/>
      <c r="I2" s="27"/>
      <c r="J2" s="27"/>
      <c r="K2" s="27"/>
      <c r="L2" s="27"/>
    </row>
    <row r="3" customFormat="false" ht="42" hidden="false" customHeight="true" outlineLevel="0" collapsed="false">
      <c r="A3" s="33" t="s">
        <v>346</v>
      </c>
      <c r="B3" s="33" t="s">
        <v>347</v>
      </c>
      <c r="C3" s="33" t="s">
        <v>348</v>
      </c>
      <c r="D3" s="33" t="s">
        <v>349</v>
      </c>
      <c r="E3" s="33" t="s">
        <v>350</v>
      </c>
      <c r="F3" s="33" t="s">
        <v>351</v>
      </c>
      <c r="G3" s="33" t="s">
        <v>352</v>
      </c>
      <c r="H3" s="33" t="s">
        <v>353</v>
      </c>
      <c r="I3" s="33" t="s">
        <v>354</v>
      </c>
      <c r="J3" s="33" t="s">
        <v>355</v>
      </c>
      <c r="K3" s="33" t="s">
        <v>356</v>
      </c>
      <c r="L3" s="33" t="s">
        <v>177</v>
      </c>
    </row>
    <row r="4" customFormat="false" ht="66" hidden="false" customHeight="true" outlineLevel="0" collapsed="false">
      <c r="A4" s="35"/>
      <c r="B4" s="35"/>
      <c r="C4" s="35"/>
      <c r="D4" s="35"/>
      <c r="E4" s="35"/>
      <c r="F4" s="35"/>
      <c r="G4" s="35"/>
      <c r="H4" s="35"/>
      <c r="I4" s="35"/>
      <c r="J4" s="35"/>
      <c r="K4" s="35"/>
      <c r="L4" s="35"/>
    </row>
    <row r="5" customFormat="false" ht="22.35" hidden="false" customHeight="false" outlineLevel="0" collapsed="false">
      <c r="A5" s="36" t="s">
        <v>357</v>
      </c>
      <c r="B5" s="36" t="s">
        <v>358</v>
      </c>
      <c r="C5" s="36" t="s">
        <v>359</v>
      </c>
      <c r="D5" s="36" t="s">
        <v>360</v>
      </c>
      <c r="E5" s="36" t="s">
        <v>192</v>
      </c>
      <c r="F5" s="36" t="s">
        <v>361</v>
      </c>
      <c r="G5" s="36" t="s">
        <v>362</v>
      </c>
      <c r="H5" s="36" t="s">
        <v>363</v>
      </c>
      <c r="I5" s="36" t="s">
        <v>364</v>
      </c>
      <c r="J5" s="36" t="s">
        <v>192</v>
      </c>
      <c r="K5" s="42"/>
      <c r="L5" s="36"/>
    </row>
    <row r="6" customFormat="false" ht="15" hidden="false" customHeight="false" outlineLevel="0" collapsed="false">
      <c r="A6" s="39"/>
      <c r="B6" s="39"/>
      <c r="C6" s="39"/>
      <c r="D6" s="39"/>
      <c r="E6" s="39"/>
      <c r="F6" s="39"/>
      <c r="G6" s="39"/>
      <c r="H6" s="39"/>
      <c r="I6" s="39"/>
      <c r="J6" s="39"/>
      <c r="K6" s="43"/>
      <c r="L6" s="39"/>
    </row>
    <row r="7" customFormat="false" ht="15" hidden="false" customHeight="false" outlineLevel="0" collapsed="false">
      <c r="A7" s="39"/>
      <c r="B7" s="39"/>
      <c r="C7" s="39"/>
      <c r="D7" s="39"/>
      <c r="E7" s="39"/>
      <c r="F7" s="39"/>
      <c r="G7" s="39"/>
      <c r="H7" s="39"/>
      <c r="I7" s="39"/>
      <c r="J7" s="39"/>
      <c r="K7" s="43"/>
      <c r="L7" s="39"/>
    </row>
    <row r="8" customFormat="false" ht="15" hidden="false" customHeight="false" outlineLevel="0" collapsed="false">
      <c r="A8" s="39"/>
      <c r="B8" s="39"/>
      <c r="C8" s="39"/>
      <c r="D8" s="39"/>
      <c r="E8" s="39"/>
      <c r="F8" s="39"/>
      <c r="G8" s="39"/>
      <c r="H8" s="39"/>
      <c r="I8" s="39"/>
      <c r="J8" s="39"/>
      <c r="K8" s="43"/>
      <c r="L8" s="39"/>
    </row>
    <row r="9" customFormat="false" ht="15" hidden="false" customHeight="false" outlineLevel="0" collapsed="false">
      <c r="A9" s="39"/>
      <c r="B9" s="39"/>
      <c r="C9" s="39"/>
      <c r="D9" s="39"/>
      <c r="E9" s="39"/>
      <c r="F9" s="39"/>
      <c r="G9" s="39"/>
      <c r="H9" s="39"/>
      <c r="I9" s="39"/>
      <c r="J9" s="39"/>
      <c r="K9" s="43"/>
      <c r="L9" s="39"/>
    </row>
    <row r="10" customFormat="false" ht="15" hidden="false" customHeight="false" outlineLevel="0" collapsed="false">
      <c r="A10" s="39"/>
      <c r="B10" s="39"/>
      <c r="C10" s="39"/>
      <c r="D10" s="39"/>
      <c r="E10" s="39"/>
      <c r="F10" s="39"/>
      <c r="G10" s="39"/>
      <c r="H10" s="39"/>
      <c r="I10" s="39"/>
      <c r="J10" s="39"/>
      <c r="K10" s="43"/>
      <c r="L10" s="39"/>
    </row>
    <row r="11" customFormat="false" ht="15" hidden="false" customHeight="false" outlineLevel="0" collapsed="false">
      <c r="A11" s="39"/>
      <c r="B11" s="39"/>
      <c r="C11" s="39"/>
      <c r="D11" s="39"/>
      <c r="E11" s="39"/>
      <c r="F11" s="39"/>
      <c r="G11" s="39"/>
      <c r="H11" s="39"/>
      <c r="I11" s="39"/>
      <c r="J11" s="39"/>
      <c r="K11" s="43"/>
      <c r="L11" s="39"/>
    </row>
    <row r="12" customFormat="false" ht="15" hidden="false" customHeight="false" outlineLevel="0" collapsed="false">
      <c r="A12" s="39"/>
      <c r="B12" s="39"/>
      <c r="C12" s="39"/>
      <c r="D12" s="39"/>
      <c r="E12" s="39"/>
      <c r="F12" s="39"/>
      <c r="G12" s="39"/>
      <c r="H12" s="39"/>
      <c r="I12" s="39"/>
      <c r="J12" s="39"/>
      <c r="K12" s="43"/>
      <c r="L12" s="39"/>
    </row>
    <row r="13" customFormat="false" ht="15" hidden="false" customHeight="false" outlineLevel="0" collapsed="false">
      <c r="A13" s="39"/>
      <c r="B13" s="39"/>
      <c r="C13" s="39"/>
      <c r="D13" s="39"/>
      <c r="E13" s="39"/>
      <c r="F13" s="39"/>
      <c r="G13" s="39"/>
      <c r="H13" s="39"/>
      <c r="I13" s="39"/>
      <c r="J13" s="39"/>
      <c r="K13" s="43"/>
      <c r="L13" s="39"/>
    </row>
    <row r="14" customFormat="false" ht="15" hidden="false" customHeight="false" outlineLevel="0" collapsed="false">
      <c r="A14" s="39"/>
      <c r="B14" s="39"/>
      <c r="C14" s="39"/>
      <c r="D14" s="39"/>
      <c r="E14" s="39"/>
      <c r="F14" s="39"/>
      <c r="G14" s="39"/>
      <c r="H14" s="39"/>
      <c r="I14" s="39"/>
      <c r="J14" s="39"/>
      <c r="K14" s="43"/>
      <c r="L14" s="39"/>
    </row>
    <row r="15" customFormat="false" ht="15" hidden="false" customHeight="false" outlineLevel="0" collapsed="false">
      <c r="A15" s="39"/>
      <c r="B15" s="39"/>
      <c r="C15" s="39"/>
      <c r="D15" s="39"/>
      <c r="E15" s="39"/>
      <c r="F15" s="39"/>
      <c r="G15" s="39"/>
      <c r="H15" s="39"/>
      <c r="I15" s="39"/>
      <c r="J15" s="39"/>
      <c r="K15" s="43"/>
      <c r="L15" s="39"/>
    </row>
    <row r="16" customFormat="false" ht="15" hidden="false" customHeight="false" outlineLevel="0" collapsed="false">
      <c r="A16" s="39"/>
      <c r="B16" s="39"/>
      <c r="C16" s="39"/>
      <c r="D16" s="39"/>
      <c r="E16" s="39"/>
      <c r="F16" s="39"/>
      <c r="G16" s="39"/>
      <c r="H16" s="39"/>
      <c r="I16" s="39"/>
      <c r="J16" s="39"/>
      <c r="K16" s="43"/>
      <c r="L16" s="39"/>
    </row>
    <row r="17" customFormat="false" ht="15" hidden="false" customHeight="false" outlineLevel="0" collapsed="false">
      <c r="A17" s="39"/>
      <c r="B17" s="39"/>
      <c r="C17" s="39"/>
      <c r="D17" s="39"/>
      <c r="E17" s="39"/>
      <c r="F17" s="39"/>
      <c r="G17" s="39"/>
      <c r="H17" s="39"/>
      <c r="I17" s="39"/>
      <c r="J17" s="39"/>
      <c r="K17" s="43"/>
      <c r="L17" s="39"/>
    </row>
    <row r="18" customFormat="false" ht="15" hidden="false" customHeight="false" outlineLevel="0" collapsed="false">
      <c r="A18" s="39"/>
      <c r="B18" s="39"/>
      <c r="C18" s="39"/>
      <c r="D18" s="39"/>
      <c r="E18" s="39"/>
      <c r="F18" s="39"/>
      <c r="G18" s="39"/>
      <c r="H18" s="39"/>
      <c r="I18" s="39"/>
      <c r="J18" s="39"/>
      <c r="K18" s="43"/>
      <c r="L18" s="39"/>
    </row>
    <row r="19" customFormat="false" ht="15" hidden="false" customHeight="false" outlineLevel="0" collapsed="false">
      <c r="A19" s="39"/>
      <c r="B19" s="39"/>
      <c r="C19" s="39"/>
      <c r="D19" s="39"/>
      <c r="E19" s="39"/>
      <c r="F19" s="39"/>
      <c r="G19" s="39"/>
      <c r="H19" s="39"/>
      <c r="I19" s="39"/>
      <c r="J19" s="39"/>
      <c r="K19" s="43"/>
      <c r="L19" s="39"/>
    </row>
    <row r="20" customFormat="false" ht="15" hidden="false" customHeight="false" outlineLevel="0" collapsed="false">
      <c r="A20" s="39"/>
      <c r="B20" s="39"/>
      <c r="C20" s="39"/>
      <c r="D20" s="39"/>
      <c r="E20" s="39"/>
      <c r="F20" s="39"/>
      <c r="G20" s="39"/>
      <c r="H20" s="39"/>
      <c r="I20" s="39"/>
      <c r="J20" s="39"/>
      <c r="K20" s="43"/>
      <c r="L20" s="39"/>
    </row>
    <row r="21" customFormat="false" ht="15" hidden="false" customHeight="false" outlineLevel="0" collapsed="false">
      <c r="A21" s="39"/>
      <c r="B21" s="39"/>
      <c r="C21" s="39"/>
      <c r="D21" s="39"/>
      <c r="E21" s="39"/>
      <c r="F21" s="39"/>
      <c r="G21" s="39"/>
      <c r="H21" s="39"/>
      <c r="I21" s="39"/>
      <c r="J21" s="39"/>
      <c r="K21" s="43"/>
      <c r="L21" s="39"/>
    </row>
    <row r="22" customFormat="false" ht="15" hidden="false" customHeight="false" outlineLevel="0" collapsed="false">
      <c r="A22" s="39"/>
      <c r="B22" s="39"/>
      <c r="C22" s="39"/>
      <c r="D22" s="39"/>
      <c r="E22" s="39"/>
      <c r="F22" s="39"/>
      <c r="G22" s="39"/>
      <c r="H22" s="39"/>
      <c r="I22" s="39"/>
      <c r="J22" s="39"/>
      <c r="K22" s="43"/>
      <c r="L22" s="39"/>
    </row>
    <row r="23" customFormat="false" ht="15" hidden="false" customHeight="false" outlineLevel="0" collapsed="false">
      <c r="A23" s="39"/>
      <c r="B23" s="39"/>
      <c r="C23" s="39"/>
      <c r="D23" s="39"/>
      <c r="E23" s="39"/>
      <c r="F23" s="39"/>
      <c r="G23" s="39"/>
      <c r="H23" s="39"/>
      <c r="I23" s="39"/>
      <c r="J23" s="39"/>
      <c r="K23" s="43"/>
      <c r="L23" s="39"/>
    </row>
    <row r="24" customFormat="false" ht="15" hidden="false" customHeight="false" outlineLevel="0" collapsed="false">
      <c r="A24" s="39"/>
      <c r="B24" s="39"/>
      <c r="C24" s="39"/>
      <c r="D24" s="39"/>
      <c r="E24" s="39"/>
      <c r="F24" s="39"/>
      <c r="G24" s="39"/>
      <c r="H24" s="39"/>
      <c r="I24" s="39"/>
      <c r="J24" s="39"/>
      <c r="K24" s="43"/>
      <c r="L24" s="39"/>
    </row>
    <row r="25" customFormat="false" ht="15" hidden="false" customHeight="false" outlineLevel="0" collapsed="false">
      <c r="A25" s="39"/>
      <c r="B25" s="39"/>
      <c r="C25" s="39"/>
      <c r="D25" s="39"/>
      <c r="E25" s="39"/>
      <c r="F25" s="39"/>
      <c r="G25" s="39"/>
      <c r="H25" s="39"/>
      <c r="I25" s="39"/>
      <c r="J25" s="39"/>
      <c r="K25" s="43"/>
      <c r="L25" s="39"/>
    </row>
    <row r="26" customFormat="false" ht="15" hidden="false" customHeight="false" outlineLevel="0" collapsed="false">
      <c r="A26" s="39"/>
      <c r="B26" s="39"/>
      <c r="C26" s="39"/>
      <c r="D26" s="39"/>
      <c r="E26" s="39"/>
      <c r="F26" s="39"/>
      <c r="G26" s="39"/>
      <c r="H26" s="39"/>
      <c r="I26" s="39"/>
      <c r="J26" s="39"/>
      <c r="K26" s="43"/>
      <c r="L26" s="39"/>
    </row>
    <row r="27" customFormat="false" ht="15" hidden="false" customHeight="false" outlineLevel="0" collapsed="false">
      <c r="A27" s="39"/>
      <c r="B27" s="39"/>
      <c r="C27" s="39"/>
      <c r="D27" s="39"/>
      <c r="E27" s="39"/>
      <c r="F27" s="39"/>
      <c r="G27" s="39"/>
      <c r="H27" s="39"/>
      <c r="I27" s="39"/>
      <c r="J27" s="39"/>
      <c r="K27" s="43"/>
      <c r="L27" s="39"/>
    </row>
    <row r="28" customFormat="false" ht="15" hidden="false" customHeight="false" outlineLevel="0" collapsed="false">
      <c r="A28" s="39"/>
      <c r="B28" s="39"/>
      <c r="C28" s="39"/>
      <c r="D28" s="39"/>
      <c r="E28" s="39"/>
      <c r="F28" s="39"/>
      <c r="G28" s="39"/>
      <c r="H28" s="39"/>
      <c r="I28" s="39"/>
      <c r="J28" s="39"/>
      <c r="K28" s="43"/>
      <c r="L28" s="39"/>
    </row>
    <row r="29" customFormat="false" ht="15" hidden="false" customHeight="false" outlineLevel="0" collapsed="false">
      <c r="A29" s="39"/>
      <c r="B29" s="39"/>
      <c r="C29" s="39"/>
      <c r="D29" s="39"/>
      <c r="E29" s="39"/>
      <c r="F29" s="39"/>
      <c r="G29" s="39"/>
      <c r="H29" s="39"/>
      <c r="I29" s="39"/>
      <c r="J29" s="39"/>
      <c r="K29" s="43"/>
      <c r="L29" s="39"/>
    </row>
    <row r="30" customFormat="false" ht="15" hidden="false" customHeight="false" outlineLevel="0" collapsed="false">
      <c r="A30" s="39"/>
      <c r="B30" s="39"/>
      <c r="C30" s="39"/>
      <c r="D30" s="39"/>
      <c r="E30" s="39"/>
      <c r="F30" s="39"/>
      <c r="G30" s="39"/>
      <c r="H30" s="39"/>
      <c r="I30" s="39"/>
      <c r="J30" s="39"/>
      <c r="K30" s="43"/>
      <c r="L30" s="39"/>
    </row>
    <row r="31" customFormat="false" ht="15" hidden="false" customHeight="false" outlineLevel="0" collapsed="false">
      <c r="A31" s="39"/>
      <c r="B31" s="39"/>
      <c r="C31" s="39"/>
      <c r="D31" s="39"/>
      <c r="E31" s="39"/>
      <c r="F31" s="39"/>
      <c r="G31" s="39"/>
      <c r="H31" s="39"/>
      <c r="I31" s="39"/>
      <c r="J31" s="39"/>
      <c r="K31" s="43"/>
      <c r="L31" s="39"/>
    </row>
    <row r="32" customFormat="false" ht="15" hidden="false" customHeight="false" outlineLevel="0" collapsed="false">
      <c r="A32" s="39"/>
      <c r="B32" s="39"/>
      <c r="C32" s="39"/>
      <c r="D32" s="39"/>
      <c r="E32" s="39"/>
      <c r="F32" s="39"/>
      <c r="G32" s="39"/>
      <c r="H32" s="39"/>
      <c r="I32" s="39"/>
      <c r="J32" s="39"/>
      <c r="K32" s="43"/>
      <c r="L32" s="39"/>
    </row>
    <row r="33" customFormat="false" ht="15" hidden="false" customHeight="false" outlineLevel="0" collapsed="false">
      <c r="A33" s="39"/>
      <c r="B33" s="39"/>
      <c r="C33" s="39"/>
      <c r="D33" s="39"/>
      <c r="E33" s="39"/>
      <c r="F33" s="39"/>
      <c r="G33" s="39"/>
      <c r="H33" s="39"/>
      <c r="I33" s="39"/>
      <c r="J33" s="39"/>
      <c r="K33" s="43"/>
      <c r="L33" s="39"/>
    </row>
    <row r="34" customFormat="false" ht="15" hidden="false" customHeight="false" outlineLevel="0" collapsed="false">
      <c r="A34" s="39"/>
      <c r="B34" s="39"/>
      <c r="C34" s="39"/>
      <c r="D34" s="39"/>
      <c r="E34" s="39"/>
      <c r="F34" s="39"/>
      <c r="G34" s="39"/>
      <c r="H34" s="39"/>
      <c r="I34" s="39"/>
      <c r="J34" s="39"/>
      <c r="K34" s="43"/>
      <c r="L34" s="39"/>
    </row>
    <row r="35" customFormat="false" ht="15" hidden="false" customHeight="false" outlineLevel="0" collapsed="false">
      <c r="A35" s="39"/>
      <c r="B35" s="39"/>
      <c r="C35" s="39"/>
      <c r="D35" s="39"/>
      <c r="E35" s="39"/>
      <c r="F35" s="39"/>
      <c r="G35" s="39"/>
      <c r="H35" s="39"/>
      <c r="I35" s="39"/>
      <c r="J35" s="39"/>
      <c r="K35" s="43"/>
      <c r="L35" s="39"/>
    </row>
    <row r="36" customFormat="false" ht="15" hidden="false" customHeight="false" outlineLevel="0" collapsed="false">
      <c r="A36" s="39"/>
      <c r="B36" s="39"/>
      <c r="C36" s="39"/>
      <c r="D36" s="39"/>
      <c r="E36" s="39"/>
      <c r="F36" s="39"/>
      <c r="G36" s="39"/>
      <c r="H36" s="39"/>
      <c r="I36" s="39"/>
      <c r="J36" s="39"/>
      <c r="K36" s="43"/>
      <c r="L36" s="39"/>
    </row>
    <row r="37" customFormat="false" ht="15" hidden="false" customHeight="false" outlineLevel="0" collapsed="false">
      <c r="A37" s="39"/>
      <c r="B37" s="39"/>
      <c r="C37" s="39"/>
      <c r="D37" s="39"/>
      <c r="E37" s="39"/>
      <c r="F37" s="39"/>
      <c r="G37" s="39"/>
      <c r="H37" s="39"/>
      <c r="I37" s="39"/>
      <c r="J37" s="39"/>
      <c r="K37" s="43"/>
      <c r="L37" s="39"/>
    </row>
    <row r="38" customFormat="false" ht="15" hidden="false" customHeight="false" outlineLevel="0" collapsed="false">
      <c r="A38" s="39"/>
      <c r="B38" s="39"/>
      <c r="C38" s="39"/>
      <c r="D38" s="39"/>
      <c r="E38" s="39"/>
      <c r="F38" s="39"/>
      <c r="G38" s="39"/>
      <c r="H38" s="39"/>
      <c r="I38" s="39"/>
      <c r="J38" s="39"/>
      <c r="K38" s="43"/>
      <c r="L38" s="39"/>
    </row>
    <row r="39" customFormat="false" ht="15" hidden="false" customHeight="false" outlineLevel="0" collapsed="false">
      <c r="A39" s="39"/>
      <c r="B39" s="39"/>
      <c r="C39" s="39"/>
      <c r="D39" s="39"/>
      <c r="E39" s="39"/>
      <c r="F39" s="39"/>
      <c r="G39" s="39"/>
      <c r="H39" s="39"/>
      <c r="I39" s="39"/>
      <c r="J39" s="39"/>
      <c r="K39" s="43"/>
      <c r="L39" s="39"/>
    </row>
    <row r="40" customFormat="false" ht="15" hidden="false" customHeight="false" outlineLevel="0" collapsed="false">
      <c r="A40" s="39"/>
      <c r="B40" s="39"/>
      <c r="C40" s="39"/>
      <c r="D40" s="39"/>
      <c r="E40" s="39"/>
      <c r="F40" s="39"/>
      <c r="G40" s="39"/>
      <c r="H40" s="39"/>
      <c r="I40" s="39"/>
      <c r="J40" s="39"/>
      <c r="K40" s="43"/>
      <c r="L40" s="39"/>
    </row>
    <row r="41" customFormat="false" ht="15" hidden="false" customHeight="false" outlineLevel="0" collapsed="false">
      <c r="A41" s="39"/>
      <c r="B41" s="39"/>
      <c r="C41" s="39"/>
      <c r="D41" s="39"/>
      <c r="E41" s="39"/>
      <c r="F41" s="39"/>
      <c r="G41" s="39"/>
      <c r="H41" s="39"/>
      <c r="I41" s="39"/>
      <c r="J41" s="39"/>
      <c r="K41" s="43"/>
      <c r="L41" s="39"/>
    </row>
    <row r="42" customFormat="false" ht="15" hidden="false" customHeight="false" outlineLevel="0" collapsed="false">
      <c r="A42" s="39"/>
      <c r="B42" s="39"/>
      <c r="C42" s="39"/>
      <c r="D42" s="39"/>
      <c r="E42" s="39"/>
      <c r="F42" s="39"/>
      <c r="G42" s="39"/>
      <c r="H42" s="39"/>
      <c r="I42" s="39"/>
      <c r="J42" s="39"/>
      <c r="K42" s="43"/>
      <c r="L42" s="39"/>
    </row>
    <row r="43" customFormat="false" ht="15" hidden="false" customHeight="false" outlineLevel="0" collapsed="false">
      <c r="A43" s="39"/>
      <c r="B43" s="39"/>
      <c r="C43" s="39"/>
      <c r="D43" s="39"/>
      <c r="E43" s="39"/>
      <c r="F43" s="39"/>
      <c r="G43" s="39"/>
      <c r="H43" s="39"/>
      <c r="I43" s="39"/>
      <c r="J43" s="39"/>
      <c r="K43" s="43"/>
      <c r="L43" s="39"/>
    </row>
    <row r="44" customFormat="false" ht="15" hidden="false" customHeight="false" outlineLevel="0" collapsed="false">
      <c r="A44" s="39"/>
      <c r="B44" s="39"/>
      <c r="C44" s="39"/>
      <c r="D44" s="39"/>
      <c r="E44" s="39"/>
      <c r="F44" s="39"/>
      <c r="G44" s="39"/>
      <c r="H44" s="39"/>
      <c r="I44" s="39"/>
      <c r="J44" s="39"/>
      <c r="K44" s="43"/>
      <c r="L44" s="39"/>
    </row>
    <row r="45" customFormat="false" ht="15" hidden="false" customHeight="false" outlineLevel="0" collapsed="false">
      <c r="A45" s="39"/>
      <c r="B45" s="39"/>
      <c r="C45" s="39"/>
      <c r="D45" s="39"/>
      <c r="E45" s="39"/>
      <c r="F45" s="39"/>
      <c r="G45" s="39"/>
      <c r="H45" s="39"/>
      <c r="I45" s="39"/>
      <c r="J45" s="39"/>
      <c r="K45" s="43"/>
      <c r="L45" s="39"/>
    </row>
    <row r="46" customFormat="false" ht="15" hidden="false" customHeight="false" outlineLevel="0" collapsed="false">
      <c r="A46" s="39"/>
      <c r="B46" s="39"/>
      <c r="C46" s="39"/>
      <c r="D46" s="39"/>
      <c r="E46" s="39"/>
      <c r="F46" s="39"/>
      <c r="G46" s="39"/>
      <c r="H46" s="39"/>
      <c r="I46" s="39"/>
      <c r="J46" s="39"/>
      <c r="K46" s="43"/>
      <c r="L46" s="39"/>
    </row>
    <row r="47" customFormat="false" ht="15" hidden="false" customHeight="false" outlineLevel="0" collapsed="false">
      <c r="A47" s="39"/>
      <c r="B47" s="39"/>
      <c r="C47" s="39"/>
      <c r="D47" s="39"/>
      <c r="E47" s="39"/>
      <c r="F47" s="39"/>
      <c r="G47" s="39"/>
      <c r="H47" s="39"/>
      <c r="I47" s="39"/>
      <c r="J47" s="39"/>
      <c r="K47" s="43"/>
      <c r="L47" s="39"/>
    </row>
    <row r="48" customFormat="false" ht="15" hidden="false" customHeight="false" outlineLevel="0" collapsed="false">
      <c r="A48" s="39"/>
      <c r="B48" s="39"/>
      <c r="C48" s="39"/>
      <c r="D48" s="39"/>
      <c r="E48" s="39"/>
      <c r="F48" s="39"/>
      <c r="G48" s="39"/>
      <c r="H48" s="39"/>
      <c r="I48" s="39"/>
      <c r="J48" s="39"/>
      <c r="K48" s="43"/>
      <c r="L48" s="39"/>
    </row>
    <row r="49" customFormat="false" ht="15" hidden="false" customHeight="false" outlineLevel="0" collapsed="false">
      <c r="A49" s="39"/>
      <c r="B49" s="39"/>
      <c r="C49" s="39"/>
      <c r="D49" s="39"/>
      <c r="E49" s="39"/>
      <c r="F49" s="39"/>
      <c r="G49" s="39"/>
      <c r="H49" s="39"/>
      <c r="I49" s="39"/>
      <c r="J49" s="39"/>
      <c r="K49" s="43"/>
      <c r="L49" s="39"/>
    </row>
    <row r="50" customFormat="false" ht="15" hidden="false" customHeight="false" outlineLevel="0" collapsed="false">
      <c r="A50" s="39"/>
      <c r="B50" s="39"/>
      <c r="C50" s="39"/>
      <c r="D50" s="39"/>
      <c r="E50" s="39"/>
      <c r="F50" s="39"/>
      <c r="G50" s="39"/>
      <c r="H50" s="39"/>
      <c r="I50" s="39"/>
      <c r="J50" s="39"/>
      <c r="K50" s="43"/>
      <c r="L50" s="39"/>
    </row>
    <row r="51" customFormat="false" ht="15" hidden="false" customHeight="false" outlineLevel="0" collapsed="false">
      <c r="A51" s="39"/>
      <c r="B51" s="39"/>
      <c r="C51" s="39"/>
      <c r="D51" s="39"/>
      <c r="E51" s="39"/>
      <c r="F51" s="39"/>
      <c r="G51" s="39"/>
      <c r="H51" s="39"/>
      <c r="I51" s="39"/>
      <c r="J51" s="39"/>
      <c r="K51" s="43"/>
      <c r="L51" s="39"/>
    </row>
    <row r="52" customFormat="false" ht="15" hidden="false" customHeight="false" outlineLevel="0" collapsed="false">
      <c r="A52" s="39"/>
      <c r="B52" s="39"/>
      <c r="C52" s="39"/>
      <c r="D52" s="39"/>
      <c r="E52" s="39"/>
      <c r="F52" s="39"/>
      <c r="G52" s="39"/>
      <c r="H52" s="39"/>
      <c r="I52" s="39"/>
      <c r="J52" s="39"/>
      <c r="K52" s="43"/>
      <c r="L52" s="39"/>
    </row>
    <row r="53" customFormat="false" ht="15" hidden="false" customHeight="false" outlineLevel="0" collapsed="false">
      <c r="A53" s="39"/>
      <c r="B53" s="39"/>
      <c r="C53" s="39"/>
      <c r="D53" s="39"/>
      <c r="E53" s="39"/>
      <c r="F53" s="39"/>
      <c r="G53" s="39"/>
      <c r="H53" s="39"/>
      <c r="I53" s="39"/>
      <c r="J53" s="39"/>
      <c r="K53" s="43"/>
      <c r="L53" s="39"/>
    </row>
    <row r="54" customFormat="false" ht="15" hidden="false" customHeight="false" outlineLevel="0" collapsed="false">
      <c r="A54" s="39"/>
      <c r="B54" s="39"/>
      <c r="C54" s="39"/>
      <c r="D54" s="39"/>
      <c r="E54" s="39"/>
      <c r="F54" s="39"/>
      <c r="G54" s="39"/>
      <c r="H54" s="39"/>
      <c r="I54" s="39"/>
      <c r="J54" s="39"/>
      <c r="K54" s="43"/>
      <c r="L54" s="39"/>
    </row>
    <row r="55" customFormat="false" ht="15" hidden="false" customHeight="false" outlineLevel="0" collapsed="false">
      <c r="A55" s="39"/>
      <c r="B55" s="39"/>
      <c r="C55" s="39"/>
      <c r="D55" s="39"/>
      <c r="E55" s="39"/>
      <c r="F55" s="39"/>
      <c r="G55" s="39"/>
      <c r="H55" s="39"/>
      <c r="I55" s="39"/>
      <c r="J55" s="39"/>
      <c r="K55" s="43"/>
      <c r="L55" s="39"/>
    </row>
    <row r="56" customFormat="false" ht="15" hidden="false" customHeight="false" outlineLevel="0" collapsed="false">
      <c r="A56" s="39"/>
      <c r="B56" s="39"/>
      <c r="C56" s="39"/>
      <c r="D56" s="39"/>
      <c r="E56" s="39"/>
      <c r="F56" s="39"/>
      <c r="G56" s="39"/>
      <c r="H56" s="39"/>
      <c r="I56" s="39"/>
      <c r="J56" s="39"/>
      <c r="K56" s="43"/>
      <c r="L56" s="39"/>
    </row>
    <row r="57" customFormat="false" ht="15" hidden="false" customHeight="false" outlineLevel="0" collapsed="false">
      <c r="A57" s="39"/>
      <c r="B57" s="39"/>
      <c r="C57" s="39"/>
      <c r="D57" s="39"/>
      <c r="E57" s="39"/>
      <c r="F57" s="39"/>
      <c r="G57" s="39"/>
      <c r="H57" s="39"/>
      <c r="I57" s="39"/>
      <c r="J57" s="39"/>
      <c r="K57" s="43"/>
      <c r="L57" s="39"/>
    </row>
    <row r="58" customFormat="false" ht="15" hidden="false" customHeight="false" outlineLevel="0" collapsed="false">
      <c r="A58" s="39"/>
      <c r="B58" s="39"/>
      <c r="C58" s="39"/>
      <c r="D58" s="39"/>
      <c r="E58" s="39"/>
      <c r="F58" s="39"/>
      <c r="G58" s="39"/>
      <c r="H58" s="39"/>
      <c r="I58" s="39"/>
      <c r="J58" s="39"/>
      <c r="K58" s="43"/>
      <c r="L58" s="39"/>
    </row>
    <row r="59" customFormat="false" ht="15" hidden="false" customHeight="false" outlineLevel="0" collapsed="false">
      <c r="A59" s="39"/>
      <c r="B59" s="39"/>
      <c r="C59" s="39"/>
      <c r="D59" s="39"/>
      <c r="E59" s="39"/>
      <c r="F59" s="39"/>
      <c r="G59" s="39"/>
      <c r="H59" s="39"/>
      <c r="I59" s="39"/>
      <c r="J59" s="39"/>
      <c r="K59" s="43"/>
      <c r="L59" s="39"/>
    </row>
    <row r="60" customFormat="false" ht="15" hidden="false" customHeight="false" outlineLevel="0" collapsed="false">
      <c r="A60" s="39"/>
      <c r="B60" s="39"/>
      <c r="C60" s="39"/>
      <c r="D60" s="39"/>
      <c r="E60" s="39"/>
      <c r="F60" s="39"/>
      <c r="G60" s="39"/>
      <c r="H60" s="39"/>
      <c r="I60" s="39"/>
      <c r="J60" s="39"/>
      <c r="K60" s="43"/>
      <c r="L60" s="39"/>
    </row>
    <row r="61" customFormat="false" ht="15" hidden="false" customHeight="false" outlineLevel="0" collapsed="false">
      <c r="A61" s="39"/>
      <c r="B61" s="39"/>
      <c r="C61" s="39"/>
      <c r="D61" s="39"/>
      <c r="E61" s="39"/>
      <c r="F61" s="39"/>
      <c r="G61" s="39"/>
      <c r="H61" s="39"/>
      <c r="I61" s="39"/>
      <c r="J61" s="39"/>
      <c r="K61" s="43"/>
      <c r="L61" s="39"/>
    </row>
    <row r="62" customFormat="false" ht="15" hidden="false" customHeight="false" outlineLevel="0" collapsed="false">
      <c r="A62" s="39"/>
      <c r="B62" s="39"/>
      <c r="C62" s="39"/>
      <c r="D62" s="39"/>
      <c r="E62" s="39"/>
      <c r="F62" s="39"/>
      <c r="G62" s="39"/>
      <c r="H62" s="39"/>
      <c r="I62" s="39"/>
      <c r="J62" s="39"/>
      <c r="K62" s="43"/>
      <c r="L62" s="39"/>
    </row>
    <row r="63" customFormat="false" ht="15" hidden="false" customHeight="false" outlineLevel="0" collapsed="false">
      <c r="A63" s="39"/>
      <c r="B63" s="39"/>
      <c r="C63" s="39"/>
      <c r="D63" s="39"/>
      <c r="E63" s="39"/>
      <c r="F63" s="39"/>
      <c r="G63" s="39"/>
      <c r="H63" s="39"/>
      <c r="I63" s="39"/>
      <c r="J63" s="39"/>
      <c r="K63" s="43"/>
      <c r="L63" s="39"/>
    </row>
    <row r="64" customFormat="false" ht="15" hidden="false" customHeight="false" outlineLevel="0" collapsed="false">
      <c r="A64" s="39"/>
      <c r="B64" s="39"/>
      <c r="C64" s="39"/>
      <c r="D64" s="39"/>
      <c r="E64" s="39"/>
      <c r="F64" s="39"/>
      <c r="G64" s="39"/>
      <c r="H64" s="39"/>
      <c r="I64" s="39"/>
      <c r="J64" s="39"/>
      <c r="K64" s="43"/>
      <c r="L64" s="39"/>
    </row>
    <row r="65" customFormat="false" ht="15" hidden="false" customHeight="false" outlineLevel="0" collapsed="false">
      <c r="A65" s="39"/>
      <c r="B65" s="39"/>
      <c r="C65" s="39"/>
      <c r="D65" s="39"/>
      <c r="E65" s="39"/>
      <c r="F65" s="39"/>
      <c r="G65" s="39"/>
      <c r="H65" s="39"/>
      <c r="I65" s="39"/>
      <c r="J65" s="39"/>
      <c r="K65" s="43"/>
      <c r="L65" s="39"/>
    </row>
    <row r="66" customFormat="false" ht="15" hidden="false" customHeight="false" outlineLevel="0" collapsed="false">
      <c r="A66" s="39"/>
      <c r="B66" s="39"/>
      <c r="C66" s="39"/>
      <c r="D66" s="39"/>
      <c r="E66" s="39"/>
      <c r="F66" s="39"/>
      <c r="G66" s="39"/>
      <c r="H66" s="39"/>
      <c r="I66" s="39"/>
      <c r="J66" s="39"/>
      <c r="K66" s="43"/>
      <c r="L66" s="39"/>
    </row>
    <row r="67" customFormat="false" ht="15" hidden="false" customHeight="false" outlineLevel="0" collapsed="false">
      <c r="A67" s="39"/>
      <c r="B67" s="39"/>
      <c r="C67" s="39"/>
      <c r="D67" s="39"/>
      <c r="E67" s="39"/>
      <c r="F67" s="39"/>
      <c r="G67" s="39"/>
      <c r="H67" s="39"/>
      <c r="I67" s="39"/>
      <c r="J67" s="39"/>
      <c r="K67" s="43"/>
      <c r="L67" s="39"/>
    </row>
    <row r="68" customFormat="false" ht="15" hidden="false" customHeight="false" outlineLevel="0" collapsed="false">
      <c r="A68" s="39"/>
      <c r="B68" s="39"/>
      <c r="C68" s="39"/>
      <c r="D68" s="39"/>
      <c r="E68" s="39"/>
      <c r="F68" s="39"/>
      <c r="G68" s="39"/>
      <c r="H68" s="39"/>
      <c r="I68" s="39"/>
      <c r="J68" s="39"/>
      <c r="K68" s="43"/>
      <c r="L68" s="39"/>
    </row>
    <row r="69" customFormat="false" ht="15" hidden="false" customHeight="false" outlineLevel="0" collapsed="false">
      <c r="A69" s="39"/>
      <c r="B69" s="39"/>
      <c r="C69" s="39"/>
      <c r="D69" s="39"/>
      <c r="E69" s="39"/>
      <c r="F69" s="39"/>
      <c r="G69" s="39"/>
      <c r="H69" s="39"/>
      <c r="I69" s="39"/>
      <c r="J69" s="39"/>
      <c r="K69" s="43"/>
      <c r="L69" s="39"/>
    </row>
    <row r="70" customFormat="false" ht="15" hidden="false" customHeight="false" outlineLevel="0" collapsed="false">
      <c r="A70" s="39"/>
      <c r="B70" s="39"/>
      <c r="C70" s="39"/>
      <c r="D70" s="39"/>
      <c r="E70" s="39"/>
      <c r="F70" s="39"/>
      <c r="G70" s="39"/>
      <c r="H70" s="39"/>
      <c r="I70" s="39"/>
      <c r="J70" s="39"/>
      <c r="K70" s="43"/>
      <c r="L70" s="39"/>
    </row>
    <row r="71" customFormat="false" ht="15" hidden="false" customHeight="false" outlineLevel="0" collapsed="false">
      <c r="A71" s="39"/>
      <c r="B71" s="39"/>
      <c r="C71" s="39"/>
      <c r="D71" s="39"/>
      <c r="E71" s="39"/>
      <c r="F71" s="39"/>
      <c r="G71" s="39"/>
      <c r="H71" s="39"/>
      <c r="I71" s="39"/>
      <c r="J71" s="39"/>
      <c r="K71" s="43"/>
      <c r="L71" s="39"/>
    </row>
    <row r="72" customFormat="false" ht="15" hidden="false" customHeight="false" outlineLevel="0" collapsed="false">
      <c r="A72" s="39"/>
      <c r="B72" s="39"/>
      <c r="C72" s="39"/>
      <c r="D72" s="39"/>
      <c r="E72" s="39"/>
      <c r="F72" s="39"/>
      <c r="G72" s="39"/>
      <c r="H72" s="39"/>
      <c r="I72" s="39"/>
      <c r="J72" s="39"/>
      <c r="K72" s="43"/>
      <c r="L72" s="39"/>
    </row>
    <row r="73" customFormat="false" ht="15" hidden="false" customHeight="false" outlineLevel="0" collapsed="false">
      <c r="A73" s="39"/>
      <c r="B73" s="39"/>
      <c r="C73" s="39"/>
      <c r="D73" s="39"/>
      <c r="E73" s="39"/>
      <c r="F73" s="39"/>
      <c r="G73" s="39"/>
      <c r="H73" s="39"/>
      <c r="I73" s="39"/>
      <c r="J73" s="39"/>
      <c r="K73" s="43"/>
      <c r="L73" s="39"/>
    </row>
    <row r="74" customFormat="false" ht="15" hidden="false" customHeight="false" outlineLevel="0" collapsed="false">
      <c r="A74" s="39"/>
      <c r="B74" s="39"/>
      <c r="C74" s="39"/>
      <c r="D74" s="39"/>
      <c r="E74" s="39"/>
      <c r="F74" s="39"/>
      <c r="G74" s="39"/>
      <c r="H74" s="39"/>
      <c r="I74" s="39"/>
      <c r="J74" s="39"/>
      <c r="K74" s="43"/>
      <c r="L74" s="39"/>
    </row>
    <row r="75" customFormat="false" ht="15" hidden="false" customHeight="false" outlineLevel="0" collapsed="false">
      <c r="A75" s="39"/>
      <c r="B75" s="39"/>
      <c r="C75" s="39"/>
      <c r="D75" s="39"/>
      <c r="E75" s="39"/>
      <c r="F75" s="39"/>
      <c r="G75" s="39"/>
      <c r="H75" s="39"/>
      <c r="I75" s="39"/>
      <c r="J75" s="39"/>
      <c r="K75" s="43"/>
      <c r="L75" s="39"/>
    </row>
    <row r="76" customFormat="false" ht="15" hidden="false" customHeight="false" outlineLevel="0" collapsed="false">
      <c r="A76" s="39"/>
      <c r="B76" s="39"/>
      <c r="C76" s="39"/>
      <c r="D76" s="39"/>
      <c r="E76" s="39"/>
      <c r="F76" s="39"/>
      <c r="G76" s="39"/>
      <c r="H76" s="39"/>
      <c r="I76" s="39"/>
      <c r="J76" s="39"/>
      <c r="K76" s="43"/>
      <c r="L76" s="39"/>
    </row>
    <row r="77" customFormat="false" ht="15" hidden="false" customHeight="false" outlineLevel="0" collapsed="false">
      <c r="A77" s="39"/>
      <c r="B77" s="39"/>
      <c r="C77" s="39"/>
      <c r="D77" s="39"/>
      <c r="E77" s="39"/>
      <c r="F77" s="39"/>
      <c r="G77" s="39"/>
      <c r="H77" s="39"/>
      <c r="I77" s="39"/>
      <c r="J77" s="39"/>
      <c r="K77" s="43"/>
      <c r="L77" s="39"/>
    </row>
    <row r="78" customFormat="false" ht="15" hidden="false" customHeight="false" outlineLevel="0" collapsed="false">
      <c r="A78" s="39"/>
      <c r="B78" s="39"/>
      <c r="C78" s="39"/>
      <c r="D78" s="39"/>
      <c r="E78" s="39"/>
      <c r="F78" s="39"/>
      <c r="G78" s="39"/>
      <c r="H78" s="39"/>
      <c r="I78" s="39"/>
      <c r="J78" s="39"/>
      <c r="K78" s="43"/>
      <c r="L78" s="39"/>
    </row>
    <row r="79" customFormat="false" ht="15" hidden="false" customHeight="false" outlineLevel="0" collapsed="false">
      <c r="A79" s="39"/>
      <c r="B79" s="39"/>
      <c r="C79" s="39"/>
      <c r="D79" s="39"/>
      <c r="E79" s="39"/>
      <c r="F79" s="39"/>
      <c r="G79" s="39"/>
      <c r="H79" s="39"/>
      <c r="I79" s="39"/>
      <c r="J79" s="39"/>
      <c r="K79" s="43"/>
      <c r="L79" s="39"/>
    </row>
    <row r="80" customFormat="false" ht="15" hidden="false" customHeight="false" outlineLevel="0" collapsed="false">
      <c r="A80" s="39"/>
      <c r="B80" s="39"/>
      <c r="C80" s="39"/>
      <c r="D80" s="39"/>
      <c r="E80" s="39"/>
      <c r="F80" s="39"/>
      <c r="G80" s="39"/>
      <c r="H80" s="39"/>
      <c r="I80" s="39"/>
      <c r="J80" s="39"/>
      <c r="K80" s="43"/>
      <c r="L80" s="39"/>
    </row>
    <row r="81" customFormat="false" ht="15" hidden="false" customHeight="false" outlineLevel="0" collapsed="false">
      <c r="A81" s="39"/>
      <c r="B81" s="39"/>
      <c r="C81" s="39"/>
      <c r="D81" s="39"/>
      <c r="E81" s="39"/>
      <c r="F81" s="39"/>
      <c r="G81" s="39"/>
      <c r="H81" s="39"/>
      <c r="I81" s="39"/>
      <c r="J81" s="39"/>
      <c r="K81" s="43"/>
      <c r="L81" s="39"/>
    </row>
    <row r="82" customFormat="false" ht="15" hidden="false" customHeight="false" outlineLevel="0" collapsed="false">
      <c r="A82" s="39"/>
      <c r="B82" s="39"/>
      <c r="C82" s="39"/>
      <c r="D82" s="39"/>
      <c r="E82" s="39"/>
      <c r="F82" s="39"/>
      <c r="G82" s="39"/>
      <c r="H82" s="39"/>
      <c r="I82" s="39"/>
      <c r="J82" s="39"/>
      <c r="K82" s="43"/>
      <c r="L82" s="39"/>
    </row>
    <row r="83" customFormat="false" ht="15" hidden="false" customHeight="false" outlineLevel="0" collapsed="false">
      <c r="A83" s="39"/>
      <c r="B83" s="39"/>
      <c r="C83" s="39"/>
      <c r="D83" s="39"/>
      <c r="E83" s="39"/>
      <c r="F83" s="39"/>
      <c r="G83" s="39"/>
      <c r="H83" s="39"/>
      <c r="I83" s="39"/>
      <c r="J83" s="39"/>
      <c r="K83" s="43"/>
      <c r="L83" s="39"/>
    </row>
    <row r="84" customFormat="false" ht="15" hidden="false" customHeight="false" outlineLevel="0" collapsed="false">
      <c r="A84" s="39"/>
      <c r="B84" s="39"/>
      <c r="C84" s="39"/>
      <c r="D84" s="39"/>
      <c r="E84" s="39"/>
      <c r="F84" s="39"/>
      <c r="G84" s="39"/>
      <c r="H84" s="39"/>
      <c r="I84" s="39"/>
      <c r="J84" s="39"/>
      <c r="K84" s="43"/>
      <c r="L84" s="39"/>
    </row>
    <row r="85" customFormat="false" ht="15" hidden="false" customHeight="false" outlineLevel="0" collapsed="false">
      <c r="A85" s="39"/>
      <c r="B85" s="39"/>
      <c r="C85" s="39"/>
      <c r="D85" s="39"/>
      <c r="E85" s="39"/>
      <c r="F85" s="39"/>
      <c r="G85" s="39"/>
      <c r="H85" s="39"/>
      <c r="I85" s="39"/>
      <c r="J85" s="39"/>
      <c r="K85" s="43"/>
      <c r="L85" s="39"/>
    </row>
    <row r="86" customFormat="false" ht="15" hidden="false" customHeight="false" outlineLevel="0" collapsed="false">
      <c r="A86" s="39"/>
      <c r="B86" s="39"/>
      <c r="C86" s="39"/>
      <c r="D86" s="39"/>
      <c r="E86" s="39"/>
      <c r="F86" s="39"/>
      <c r="G86" s="39"/>
      <c r="H86" s="39"/>
      <c r="I86" s="39"/>
      <c r="J86" s="39"/>
      <c r="K86" s="43"/>
      <c r="L86" s="39"/>
    </row>
    <row r="87" customFormat="false" ht="15" hidden="false" customHeight="false" outlineLevel="0" collapsed="false">
      <c r="A87" s="39"/>
      <c r="B87" s="39"/>
      <c r="C87" s="39"/>
      <c r="D87" s="39"/>
      <c r="E87" s="39"/>
      <c r="F87" s="39"/>
      <c r="G87" s="39"/>
      <c r="H87" s="39"/>
      <c r="I87" s="39"/>
      <c r="J87" s="39"/>
      <c r="K87" s="43"/>
      <c r="L87" s="39"/>
    </row>
    <row r="88" customFormat="false" ht="15" hidden="false" customHeight="false" outlineLevel="0" collapsed="false">
      <c r="A88" s="39"/>
      <c r="B88" s="39"/>
      <c r="C88" s="39"/>
      <c r="D88" s="39"/>
      <c r="E88" s="39"/>
      <c r="F88" s="39"/>
      <c r="G88" s="39"/>
      <c r="H88" s="39"/>
      <c r="I88" s="39"/>
      <c r="J88" s="39"/>
      <c r="K88" s="43"/>
      <c r="L88" s="39"/>
    </row>
    <row r="89" customFormat="false" ht="15" hidden="false" customHeight="false" outlineLevel="0" collapsed="false">
      <c r="A89" s="39"/>
      <c r="B89" s="39"/>
      <c r="C89" s="39"/>
      <c r="D89" s="39"/>
      <c r="E89" s="39"/>
      <c r="F89" s="39"/>
      <c r="G89" s="39"/>
      <c r="H89" s="39"/>
      <c r="I89" s="39"/>
      <c r="J89" s="39"/>
      <c r="K89" s="43"/>
      <c r="L89" s="39"/>
    </row>
    <row r="90" customFormat="false" ht="15" hidden="false" customHeight="false" outlineLevel="0" collapsed="false">
      <c r="A90" s="39"/>
      <c r="B90" s="39"/>
      <c r="C90" s="39"/>
      <c r="D90" s="39"/>
      <c r="E90" s="39"/>
      <c r="F90" s="39"/>
      <c r="G90" s="39"/>
      <c r="H90" s="39"/>
      <c r="I90" s="39"/>
      <c r="J90" s="39"/>
      <c r="K90" s="43"/>
      <c r="L90" s="39"/>
    </row>
    <row r="91" customFormat="false" ht="15" hidden="false" customHeight="false" outlineLevel="0" collapsed="false">
      <c r="A91" s="39"/>
      <c r="B91" s="39"/>
      <c r="C91" s="39"/>
      <c r="D91" s="39"/>
      <c r="E91" s="39"/>
      <c r="F91" s="39"/>
      <c r="G91" s="39"/>
      <c r="H91" s="39"/>
      <c r="I91" s="39"/>
      <c r="J91" s="39"/>
      <c r="K91" s="43"/>
      <c r="L91" s="39"/>
    </row>
    <row r="92" customFormat="false" ht="15" hidden="false" customHeight="false" outlineLevel="0" collapsed="false">
      <c r="A92" s="39"/>
      <c r="B92" s="39"/>
      <c r="C92" s="39"/>
      <c r="D92" s="39"/>
      <c r="E92" s="39"/>
      <c r="F92" s="39"/>
      <c r="G92" s="39"/>
      <c r="H92" s="39"/>
      <c r="I92" s="39"/>
      <c r="J92" s="39"/>
      <c r="K92" s="43"/>
      <c r="L92" s="39"/>
    </row>
    <row r="93" customFormat="false" ht="15" hidden="false" customHeight="false" outlineLevel="0" collapsed="false">
      <c r="A93" s="39"/>
      <c r="B93" s="39"/>
      <c r="C93" s="39"/>
      <c r="D93" s="39"/>
      <c r="E93" s="39"/>
      <c r="F93" s="39"/>
      <c r="G93" s="39"/>
      <c r="H93" s="39"/>
      <c r="I93" s="39"/>
      <c r="J93" s="39"/>
      <c r="K93" s="43"/>
      <c r="L93" s="39"/>
    </row>
    <row r="94" customFormat="false" ht="15" hidden="false" customHeight="false" outlineLevel="0" collapsed="false">
      <c r="A94" s="39"/>
      <c r="B94" s="39"/>
      <c r="C94" s="39"/>
      <c r="D94" s="39"/>
      <c r="E94" s="39"/>
      <c r="F94" s="39"/>
      <c r="G94" s="39"/>
      <c r="H94" s="39"/>
      <c r="I94" s="39"/>
      <c r="J94" s="39"/>
      <c r="K94" s="43"/>
      <c r="L94" s="39"/>
    </row>
    <row r="95" customFormat="false" ht="15" hidden="false" customHeight="false" outlineLevel="0" collapsed="false">
      <c r="A95" s="39"/>
      <c r="B95" s="39"/>
      <c r="C95" s="39"/>
      <c r="D95" s="39"/>
      <c r="E95" s="39"/>
      <c r="F95" s="39"/>
      <c r="G95" s="39"/>
      <c r="H95" s="39"/>
      <c r="I95" s="39"/>
      <c r="J95" s="39"/>
      <c r="K95" s="43"/>
      <c r="L95" s="39"/>
    </row>
    <row r="96" customFormat="false" ht="15" hidden="false" customHeight="false" outlineLevel="0" collapsed="false">
      <c r="A96" s="39"/>
      <c r="B96" s="39"/>
      <c r="C96" s="39"/>
      <c r="D96" s="39"/>
      <c r="E96" s="39"/>
      <c r="F96" s="39"/>
      <c r="G96" s="39"/>
      <c r="H96" s="39"/>
      <c r="I96" s="39"/>
      <c r="J96" s="39"/>
      <c r="K96" s="43"/>
      <c r="L96" s="39"/>
    </row>
    <row r="97" customFormat="false" ht="15" hidden="false" customHeight="false" outlineLevel="0" collapsed="false">
      <c r="A97" s="39"/>
      <c r="B97" s="39"/>
      <c r="C97" s="39"/>
      <c r="D97" s="39"/>
      <c r="E97" s="39"/>
      <c r="F97" s="39"/>
      <c r="G97" s="39"/>
      <c r="H97" s="39"/>
      <c r="I97" s="39"/>
      <c r="J97" s="39"/>
      <c r="K97" s="43"/>
      <c r="L97" s="39"/>
    </row>
    <row r="98" customFormat="false" ht="15" hidden="false" customHeight="false" outlineLevel="0" collapsed="false">
      <c r="A98" s="39"/>
      <c r="B98" s="39"/>
      <c r="C98" s="39"/>
      <c r="D98" s="39"/>
      <c r="E98" s="39"/>
      <c r="F98" s="39"/>
      <c r="G98" s="39"/>
      <c r="H98" s="39"/>
      <c r="I98" s="39"/>
      <c r="J98" s="39"/>
      <c r="K98" s="43"/>
      <c r="L98" s="39"/>
    </row>
    <row r="99" customFormat="false" ht="15" hidden="false" customHeight="false" outlineLevel="0" collapsed="false">
      <c r="A99" s="39"/>
      <c r="B99" s="39"/>
      <c r="C99" s="39"/>
      <c r="D99" s="39"/>
      <c r="E99" s="39"/>
      <c r="F99" s="39"/>
      <c r="G99" s="39"/>
      <c r="H99" s="39"/>
      <c r="I99" s="39"/>
      <c r="J99" s="39"/>
      <c r="K99" s="43"/>
      <c r="L99" s="39"/>
    </row>
    <row r="100" customFormat="false" ht="15" hidden="false" customHeight="false" outlineLevel="0" collapsed="false">
      <c r="A100" s="39"/>
      <c r="B100" s="39"/>
      <c r="C100" s="39"/>
      <c r="D100" s="39"/>
      <c r="E100" s="39"/>
      <c r="F100" s="39"/>
      <c r="G100" s="39"/>
      <c r="H100" s="39"/>
      <c r="I100" s="39"/>
      <c r="J100" s="39"/>
      <c r="K100" s="43"/>
      <c r="L100" s="39"/>
    </row>
    <row r="101" customFormat="false" ht="15" hidden="false" customHeight="false" outlineLevel="0" collapsed="false">
      <c r="A101" s="39"/>
      <c r="B101" s="39"/>
      <c r="C101" s="39"/>
      <c r="D101" s="39"/>
      <c r="E101" s="39"/>
      <c r="F101" s="39"/>
      <c r="G101" s="39"/>
      <c r="H101" s="39"/>
      <c r="I101" s="39"/>
      <c r="J101" s="39"/>
      <c r="K101" s="43"/>
      <c r="L101" s="39"/>
    </row>
    <row r="102" customFormat="false" ht="15" hidden="false" customHeight="false" outlineLevel="0" collapsed="false">
      <c r="A102" s="39"/>
      <c r="B102" s="39"/>
      <c r="C102" s="39"/>
      <c r="D102" s="39"/>
      <c r="E102" s="39"/>
      <c r="F102" s="39"/>
      <c r="G102" s="39"/>
      <c r="H102" s="39"/>
      <c r="I102" s="39"/>
      <c r="J102" s="39"/>
      <c r="K102" s="43"/>
      <c r="L102" s="39"/>
    </row>
    <row r="103" customFormat="false" ht="15" hidden="false" customHeight="false" outlineLevel="0" collapsed="false">
      <c r="A103" s="39"/>
      <c r="B103" s="39"/>
      <c r="C103" s="39"/>
      <c r="D103" s="39"/>
      <c r="E103" s="39"/>
      <c r="F103" s="39"/>
      <c r="G103" s="39"/>
      <c r="H103" s="39"/>
      <c r="I103" s="39"/>
      <c r="J103" s="39"/>
      <c r="K103" s="43"/>
      <c r="L103" s="39"/>
    </row>
    <row r="104" customFormat="false" ht="15" hidden="false" customHeight="false" outlineLevel="0" collapsed="false">
      <c r="A104" s="39"/>
      <c r="B104" s="39"/>
      <c r="C104" s="39"/>
      <c r="D104" s="39"/>
      <c r="E104" s="39"/>
      <c r="F104" s="39"/>
      <c r="G104" s="39"/>
      <c r="H104" s="39"/>
      <c r="I104" s="39"/>
      <c r="J104" s="39"/>
      <c r="K104" s="43"/>
      <c r="L104" s="39"/>
    </row>
    <row r="105" customFormat="false" ht="15" hidden="false" customHeight="false" outlineLevel="0" collapsed="false">
      <c r="A105" s="39"/>
      <c r="B105" s="39"/>
      <c r="C105" s="39"/>
      <c r="D105" s="39"/>
      <c r="E105" s="39"/>
      <c r="F105" s="39"/>
      <c r="G105" s="39"/>
      <c r="H105" s="39"/>
      <c r="I105" s="39"/>
      <c r="J105" s="39"/>
      <c r="K105" s="43"/>
      <c r="L105" s="39"/>
    </row>
  </sheetData>
  <mergeCells count="2">
    <mergeCell ref="A1:L1"/>
    <mergeCell ref="A2:L2"/>
  </mergeCells>
  <conditionalFormatting sqref="J5:J105">
    <cfRule type="expression" priority="2" aboveAverage="0" equalAverage="0" bottom="0" percent="0" rank="0" text="" dxfId="0">
      <formula>J5="No"</formula>
    </cfRule>
  </conditionalFormatting>
  <dataValidations count="5">
    <dataValidation allowBlank="true" error="Enter a date, e.g. 2026-10-22." errorStyle="stop" errorTitle="Date required" operator="greaterThan" showDropDown="false" showErrorMessage="true" showInputMessage="false" sqref="K5:K105" type="date">
      <formula1>1</formula1>
      <formula2>0</formula2>
    </dataValidation>
    <dataValidation allowBlank="true" errorStyle="stop" operator="between" showDropDown="false" showErrorMessage="false" showInputMessage="false" sqref="C5:C105" type="list">
      <formula1>AcctType</formula1>
      <formula2>0</formula2>
    </dataValidation>
    <dataValidation allowBlank="true" errorStyle="stop" operator="between" showDropDown="false" showErrorMessage="false" showInputMessage="false" sqref="E5:E105" type="list">
      <formula1>YesNo</formula1>
      <formula2>0</formula2>
    </dataValidation>
    <dataValidation allowBlank="true" errorStyle="stop" operator="between" showDropDown="false" showErrorMessage="false" showInputMessage="false" sqref="G5:G105" type="list">
      <formula1>CredStorage</formula1>
      <formula2>0</formula2>
    </dataValidation>
    <dataValidation allowBlank="true" errorStyle="stop" operator="between" showDropDown="false" showErrorMessage="false" showInputMessage="false" sqref="J5:J105" type="list">
      <formula1>YesNo</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&amp;A&amp;R&amp;8 Powered by MSP Culture  |  v1.0  |  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8FF"/>
    <pageSetUpPr fitToPage="true"/>
  </sheetPr>
  <dimension ref="A1:O1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12"/>
    <col collapsed="false" customWidth="true" hidden="false" outlineLevel="0" max="4" min="4" style="0" width="18"/>
    <col collapsed="false" customWidth="true" hidden="false" outlineLevel="0" max="5" min="5" style="0" width="20"/>
    <col collapsed="false" customWidth="true" hidden="false" outlineLevel="0" max="7" min="6" style="0" width="14"/>
    <col collapsed="false" customWidth="true" hidden="false" outlineLevel="0" max="9" min="8" style="0" width="20"/>
    <col collapsed="false" customWidth="true" hidden="false" outlineLevel="0" max="10" min="10" style="0" width="14"/>
    <col collapsed="false" customWidth="true" hidden="false" outlineLevel="0" max="11" min="11" style="0" width="16"/>
    <col collapsed="false" customWidth="true" hidden="false" outlineLevel="0" max="14" min="12" style="0" width="11"/>
    <col collapsed="false" customWidth="true" hidden="false" outlineLevel="0" max="15" min="15" style="0" width="20"/>
  </cols>
  <sheetData>
    <row r="1" customFormat="false" ht="33.75" hidden="false" customHeight="true" outlineLevel="0" collapsed="false">
      <c r="A1" s="26" t="str">
        <f aca="false">IF(PreparedFor="","Internal Contacts &amp; Recovery Team","Internal Contacts &amp; Recovery Team  |  "&amp;PreparedFor)</f>
        <v>Internal Contacts &amp; Recovery Team</v>
      </c>
      <c r="B1" s="26"/>
      <c r="C1" s="26"/>
      <c r="D1" s="26"/>
      <c r="E1" s="26"/>
      <c r="F1" s="26"/>
      <c r="G1" s="26"/>
      <c r="H1" s="26"/>
      <c r="I1" s="26"/>
      <c r="J1" s="26"/>
      <c r="K1" s="26"/>
      <c r="L1" s="26"/>
      <c r="M1" s="26"/>
      <c r="N1" s="26"/>
      <c r="O1" s="26"/>
    </row>
    <row r="2" customFormat="false" ht="48" hidden="false" customHeight="true" outlineLevel="0" collapsed="false">
      <c r="A2" s="27" t="s">
        <v>365</v>
      </c>
      <c r="B2" s="27"/>
      <c r="C2" s="27"/>
      <c r="D2" s="27"/>
      <c r="E2" s="27"/>
      <c r="F2" s="27"/>
      <c r="G2" s="27"/>
      <c r="H2" s="27"/>
      <c r="I2" s="27"/>
      <c r="J2" s="27"/>
      <c r="K2" s="27"/>
      <c r="L2" s="27"/>
      <c r="M2" s="27"/>
      <c r="N2" s="27"/>
      <c r="O2" s="27"/>
    </row>
    <row r="3" customFormat="false" ht="42" hidden="false" customHeight="true" outlineLevel="0" collapsed="false">
      <c r="A3" s="33" t="s">
        <v>366</v>
      </c>
      <c r="B3" s="33" t="s">
        <v>367</v>
      </c>
      <c r="C3" s="33" t="s">
        <v>161</v>
      </c>
      <c r="D3" s="33" t="s">
        <v>368</v>
      </c>
      <c r="E3" s="33" t="s">
        <v>369</v>
      </c>
      <c r="F3" s="33" t="s">
        <v>370</v>
      </c>
      <c r="G3" s="33" t="s">
        <v>371</v>
      </c>
      <c r="H3" s="33" t="s">
        <v>372</v>
      </c>
      <c r="I3" s="33" t="s">
        <v>373</v>
      </c>
      <c r="J3" s="33" t="s">
        <v>374</v>
      </c>
      <c r="K3" s="33" t="s">
        <v>375</v>
      </c>
      <c r="L3" s="33" t="s">
        <v>376</v>
      </c>
      <c r="M3" s="33" t="s">
        <v>377</v>
      </c>
      <c r="N3" s="33" t="s">
        <v>378</v>
      </c>
      <c r="O3" s="33" t="s">
        <v>177</v>
      </c>
    </row>
    <row r="4" customFormat="false" ht="66" hidden="false" customHeight="true" outlineLevel="0" collapsed="false">
      <c r="A4" s="35"/>
      <c r="B4" s="35"/>
      <c r="C4" s="35"/>
      <c r="D4" s="35"/>
      <c r="E4" s="35"/>
      <c r="F4" s="35"/>
      <c r="G4" s="35"/>
      <c r="H4" s="35"/>
      <c r="I4" s="35" t="s">
        <v>379</v>
      </c>
      <c r="J4" s="35" t="s">
        <v>380</v>
      </c>
      <c r="K4" s="35"/>
      <c r="L4" s="35"/>
      <c r="M4" s="35"/>
      <c r="N4" s="35"/>
      <c r="O4" s="35"/>
    </row>
    <row r="5" customFormat="false" ht="22.35" hidden="false" customHeight="false" outlineLevel="0" collapsed="false">
      <c r="A5" s="36" t="s">
        <v>381</v>
      </c>
      <c r="B5" s="36" t="s">
        <v>382</v>
      </c>
      <c r="C5" s="36" t="s">
        <v>185</v>
      </c>
      <c r="D5" s="36" t="s">
        <v>383</v>
      </c>
      <c r="E5" s="36" t="s">
        <v>384</v>
      </c>
      <c r="F5" s="36" t="s">
        <v>385</v>
      </c>
      <c r="G5" s="36"/>
      <c r="H5" s="36" t="s">
        <v>386</v>
      </c>
      <c r="I5" s="36" t="s">
        <v>387</v>
      </c>
      <c r="J5" s="36" t="s">
        <v>388</v>
      </c>
      <c r="K5" s="36" t="s">
        <v>389</v>
      </c>
      <c r="L5" s="36" t="s">
        <v>234</v>
      </c>
      <c r="M5" s="36" t="s">
        <v>192</v>
      </c>
      <c r="N5" s="44" t="n">
        <v>10000</v>
      </c>
      <c r="O5" s="36"/>
    </row>
    <row r="6" customFormat="false" ht="15" hidden="false" customHeight="false" outlineLevel="0" collapsed="false">
      <c r="A6" s="39"/>
      <c r="B6" s="39"/>
      <c r="C6" s="39"/>
      <c r="D6" s="39"/>
      <c r="E6" s="39"/>
      <c r="F6" s="39"/>
      <c r="G6" s="39"/>
      <c r="H6" s="39"/>
      <c r="I6" s="39"/>
      <c r="J6" s="39"/>
      <c r="K6" s="39"/>
      <c r="L6" s="39"/>
      <c r="M6" s="39"/>
      <c r="N6" s="45"/>
      <c r="O6" s="39"/>
    </row>
    <row r="7" customFormat="false" ht="15" hidden="false" customHeight="false" outlineLevel="0" collapsed="false">
      <c r="A7" s="39"/>
      <c r="B7" s="39"/>
      <c r="C7" s="39"/>
      <c r="D7" s="39"/>
      <c r="E7" s="39"/>
      <c r="F7" s="39"/>
      <c r="G7" s="39"/>
      <c r="H7" s="39"/>
      <c r="I7" s="39"/>
      <c r="J7" s="39"/>
      <c r="K7" s="39"/>
      <c r="L7" s="39"/>
      <c r="M7" s="39"/>
      <c r="N7" s="45"/>
      <c r="O7" s="39"/>
    </row>
    <row r="8" customFormat="false" ht="15" hidden="false" customHeight="false" outlineLevel="0" collapsed="false">
      <c r="A8" s="39"/>
      <c r="B8" s="39"/>
      <c r="C8" s="39"/>
      <c r="D8" s="39"/>
      <c r="E8" s="39"/>
      <c r="F8" s="39"/>
      <c r="G8" s="39"/>
      <c r="H8" s="39"/>
      <c r="I8" s="39"/>
      <c r="J8" s="39"/>
      <c r="K8" s="39"/>
      <c r="L8" s="39"/>
      <c r="M8" s="39"/>
      <c r="N8" s="45"/>
      <c r="O8" s="39"/>
    </row>
    <row r="9" customFormat="false" ht="15" hidden="false" customHeight="false" outlineLevel="0" collapsed="false">
      <c r="A9" s="39"/>
      <c r="B9" s="39"/>
      <c r="C9" s="39"/>
      <c r="D9" s="39"/>
      <c r="E9" s="39"/>
      <c r="F9" s="39"/>
      <c r="G9" s="39"/>
      <c r="H9" s="39"/>
      <c r="I9" s="39"/>
      <c r="J9" s="39"/>
      <c r="K9" s="39"/>
      <c r="L9" s="39"/>
      <c r="M9" s="39"/>
      <c r="N9" s="45"/>
      <c r="O9" s="39"/>
    </row>
    <row r="10" customFormat="false" ht="15" hidden="false" customHeight="false" outlineLevel="0" collapsed="false">
      <c r="A10" s="39"/>
      <c r="B10" s="39"/>
      <c r="C10" s="39"/>
      <c r="D10" s="39"/>
      <c r="E10" s="39"/>
      <c r="F10" s="39"/>
      <c r="G10" s="39"/>
      <c r="H10" s="39"/>
      <c r="I10" s="39"/>
      <c r="J10" s="39"/>
      <c r="K10" s="39"/>
      <c r="L10" s="39"/>
      <c r="M10" s="39"/>
      <c r="N10" s="45"/>
      <c r="O10" s="39"/>
    </row>
    <row r="11" customFormat="false" ht="15" hidden="false" customHeight="false" outlineLevel="0" collapsed="false">
      <c r="A11" s="39"/>
      <c r="B11" s="39"/>
      <c r="C11" s="39"/>
      <c r="D11" s="39"/>
      <c r="E11" s="39"/>
      <c r="F11" s="39"/>
      <c r="G11" s="39"/>
      <c r="H11" s="39"/>
      <c r="I11" s="39"/>
      <c r="J11" s="39"/>
      <c r="K11" s="39"/>
      <c r="L11" s="39"/>
      <c r="M11" s="39"/>
      <c r="N11" s="45"/>
      <c r="O11" s="39"/>
    </row>
    <row r="12" customFormat="false" ht="15" hidden="false" customHeight="false" outlineLevel="0" collapsed="false">
      <c r="A12" s="39"/>
      <c r="B12" s="39"/>
      <c r="C12" s="39"/>
      <c r="D12" s="39"/>
      <c r="E12" s="39"/>
      <c r="F12" s="39"/>
      <c r="G12" s="39"/>
      <c r="H12" s="39"/>
      <c r="I12" s="39"/>
      <c r="J12" s="39"/>
      <c r="K12" s="39"/>
      <c r="L12" s="39"/>
      <c r="M12" s="39"/>
      <c r="N12" s="45"/>
      <c r="O12" s="39"/>
    </row>
    <row r="13" customFormat="false" ht="15" hidden="false" customHeight="false" outlineLevel="0" collapsed="false">
      <c r="A13" s="39"/>
      <c r="B13" s="39"/>
      <c r="C13" s="39"/>
      <c r="D13" s="39"/>
      <c r="E13" s="39"/>
      <c r="F13" s="39"/>
      <c r="G13" s="39"/>
      <c r="H13" s="39"/>
      <c r="I13" s="39"/>
      <c r="J13" s="39"/>
      <c r="K13" s="39"/>
      <c r="L13" s="39"/>
      <c r="M13" s="39"/>
      <c r="N13" s="45"/>
      <c r="O13" s="39"/>
    </row>
    <row r="14" customFormat="false" ht="15" hidden="false" customHeight="false" outlineLevel="0" collapsed="false">
      <c r="A14" s="39"/>
      <c r="B14" s="39"/>
      <c r="C14" s="39"/>
      <c r="D14" s="39"/>
      <c r="E14" s="39"/>
      <c r="F14" s="39"/>
      <c r="G14" s="39"/>
      <c r="H14" s="39"/>
      <c r="I14" s="39"/>
      <c r="J14" s="39"/>
      <c r="K14" s="39"/>
      <c r="L14" s="39"/>
      <c r="M14" s="39"/>
      <c r="N14" s="45"/>
      <c r="O14" s="39"/>
    </row>
    <row r="15" customFormat="false" ht="15" hidden="false" customHeight="false" outlineLevel="0" collapsed="false">
      <c r="A15" s="39"/>
      <c r="B15" s="39"/>
      <c r="C15" s="39"/>
      <c r="D15" s="39"/>
      <c r="E15" s="39"/>
      <c r="F15" s="39"/>
      <c r="G15" s="39"/>
      <c r="H15" s="39"/>
      <c r="I15" s="39"/>
      <c r="J15" s="39"/>
      <c r="K15" s="39"/>
      <c r="L15" s="39"/>
      <c r="M15" s="39"/>
      <c r="N15" s="45"/>
      <c r="O15" s="39"/>
    </row>
    <row r="16" customFormat="false" ht="15" hidden="false" customHeight="false" outlineLevel="0" collapsed="false">
      <c r="A16" s="39"/>
      <c r="B16" s="39"/>
      <c r="C16" s="39"/>
      <c r="D16" s="39"/>
      <c r="E16" s="39"/>
      <c r="F16" s="39"/>
      <c r="G16" s="39"/>
      <c r="H16" s="39"/>
      <c r="I16" s="39"/>
      <c r="J16" s="39"/>
      <c r="K16" s="39"/>
      <c r="L16" s="39"/>
      <c r="M16" s="39"/>
      <c r="N16" s="45"/>
      <c r="O16" s="39"/>
    </row>
    <row r="17" customFormat="false" ht="15" hidden="false" customHeight="false" outlineLevel="0" collapsed="false">
      <c r="A17" s="39"/>
      <c r="B17" s="39"/>
      <c r="C17" s="39"/>
      <c r="D17" s="39"/>
      <c r="E17" s="39"/>
      <c r="F17" s="39"/>
      <c r="G17" s="39"/>
      <c r="H17" s="39"/>
      <c r="I17" s="39"/>
      <c r="J17" s="39"/>
      <c r="K17" s="39"/>
      <c r="L17" s="39"/>
      <c r="M17" s="39"/>
      <c r="N17" s="45"/>
      <c r="O17" s="39"/>
    </row>
    <row r="18" customFormat="false" ht="15" hidden="false" customHeight="false" outlineLevel="0" collapsed="false">
      <c r="A18" s="39"/>
      <c r="B18" s="39"/>
      <c r="C18" s="39"/>
      <c r="D18" s="39"/>
      <c r="E18" s="39"/>
      <c r="F18" s="39"/>
      <c r="G18" s="39"/>
      <c r="H18" s="39"/>
      <c r="I18" s="39"/>
      <c r="J18" s="39"/>
      <c r="K18" s="39"/>
      <c r="L18" s="39"/>
      <c r="M18" s="39"/>
      <c r="N18" s="45"/>
      <c r="O18" s="39"/>
    </row>
    <row r="19" customFormat="false" ht="15" hidden="false" customHeight="false" outlineLevel="0" collapsed="false">
      <c r="A19" s="39"/>
      <c r="B19" s="39"/>
      <c r="C19" s="39"/>
      <c r="D19" s="39"/>
      <c r="E19" s="39"/>
      <c r="F19" s="39"/>
      <c r="G19" s="39"/>
      <c r="H19" s="39"/>
      <c r="I19" s="39"/>
      <c r="J19" s="39"/>
      <c r="K19" s="39"/>
      <c r="L19" s="39"/>
      <c r="M19" s="39"/>
      <c r="N19" s="45"/>
      <c r="O19" s="39"/>
    </row>
    <row r="20" customFormat="false" ht="15" hidden="false" customHeight="false" outlineLevel="0" collapsed="false">
      <c r="A20" s="39"/>
      <c r="B20" s="39"/>
      <c r="C20" s="39"/>
      <c r="D20" s="39"/>
      <c r="E20" s="39"/>
      <c r="F20" s="39"/>
      <c r="G20" s="39"/>
      <c r="H20" s="39"/>
      <c r="I20" s="39"/>
      <c r="J20" s="39"/>
      <c r="K20" s="39"/>
      <c r="L20" s="39"/>
      <c r="M20" s="39"/>
      <c r="N20" s="45"/>
      <c r="O20" s="39"/>
    </row>
    <row r="21" customFormat="false" ht="15" hidden="false" customHeight="false" outlineLevel="0" collapsed="false">
      <c r="A21" s="39"/>
      <c r="B21" s="39"/>
      <c r="C21" s="39"/>
      <c r="D21" s="39"/>
      <c r="E21" s="39"/>
      <c r="F21" s="39"/>
      <c r="G21" s="39"/>
      <c r="H21" s="39"/>
      <c r="I21" s="39"/>
      <c r="J21" s="39"/>
      <c r="K21" s="39"/>
      <c r="L21" s="39"/>
      <c r="M21" s="39"/>
      <c r="N21" s="45"/>
      <c r="O21" s="39"/>
    </row>
    <row r="22" customFormat="false" ht="15" hidden="false" customHeight="false" outlineLevel="0" collapsed="false">
      <c r="A22" s="39"/>
      <c r="B22" s="39"/>
      <c r="C22" s="39"/>
      <c r="D22" s="39"/>
      <c r="E22" s="39"/>
      <c r="F22" s="39"/>
      <c r="G22" s="39"/>
      <c r="H22" s="39"/>
      <c r="I22" s="39"/>
      <c r="J22" s="39"/>
      <c r="K22" s="39"/>
      <c r="L22" s="39"/>
      <c r="M22" s="39"/>
      <c r="N22" s="45"/>
      <c r="O22" s="39"/>
    </row>
    <row r="23" customFormat="false" ht="15" hidden="false" customHeight="false" outlineLevel="0" collapsed="false">
      <c r="A23" s="39"/>
      <c r="B23" s="39"/>
      <c r="C23" s="39"/>
      <c r="D23" s="39"/>
      <c r="E23" s="39"/>
      <c r="F23" s="39"/>
      <c r="G23" s="39"/>
      <c r="H23" s="39"/>
      <c r="I23" s="39"/>
      <c r="J23" s="39"/>
      <c r="K23" s="39"/>
      <c r="L23" s="39"/>
      <c r="M23" s="39"/>
      <c r="N23" s="45"/>
      <c r="O23" s="39"/>
    </row>
    <row r="24" customFormat="false" ht="15" hidden="false" customHeight="false" outlineLevel="0" collapsed="false">
      <c r="A24" s="39"/>
      <c r="B24" s="39"/>
      <c r="C24" s="39"/>
      <c r="D24" s="39"/>
      <c r="E24" s="39"/>
      <c r="F24" s="39"/>
      <c r="G24" s="39"/>
      <c r="H24" s="39"/>
      <c r="I24" s="39"/>
      <c r="J24" s="39"/>
      <c r="K24" s="39"/>
      <c r="L24" s="39"/>
      <c r="M24" s="39"/>
      <c r="N24" s="45"/>
      <c r="O24" s="39"/>
    </row>
    <row r="25" customFormat="false" ht="15" hidden="false" customHeight="false" outlineLevel="0" collapsed="false">
      <c r="A25" s="39"/>
      <c r="B25" s="39"/>
      <c r="C25" s="39"/>
      <c r="D25" s="39"/>
      <c r="E25" s="39"/>
      <c r="F25" s="39"/>
      <c r="G25" s="39"/>
      <c r="H25" s="39"/>
      <c r="I25" s="39"/>
      <c r="J25" s="39"/>
      <c r="K25" s="39"/>
      <c r="L25" s="39"/>
      <c r="M25" s="39"/>
      <c r="N25" s="45"/>
      <c r="O25" s="39"/>
    </row>
    <row r="26" customFormat="false" ht="15" hidden="false" customHeight="false" outlineLevel="0" collapsed="false">
      <c r="A26" s="39"/>
      <c r="B26" s="39"/>
      <c r="C26" s="39"/>
      <c r="D26" s="39"/>
      <c r="E26" s="39"/>
      <c r="F26" s="39"/>
      <c r="G26" s="39"/>
      <c r="H26" s="39"/>
      <c r="I26" s="39"/>
      <c r="J26" s="39"/>
      <c r="K26" s="39"/>
      <c r="L26" s="39"/>
      <c r="M26" s="39"/>
      <c r="N26" s="45"/>
      <c r="O26" s="39"/>
    </row>
    <row r="27" customFormat="false" ht="15" hidden="false" customHeight="false" outlineLevel="0" collapsed="false">
      <c r="A27" s="39"/>
      <c r="B27" s="39"/>
      <c r="C27" s="39"/>
      <c r="D27" s="39"/>
      <c r="E27" s="39"/>
      <c r="F27" s="39"/>
      <c r="G27" s="39"/>
      <c r="H27" s="39"/>
      <c r="I27" s="39"/>
      <c r="J27" s="39"/>
      <c r="K27" s="39"/>
      <c r="L27" s="39"/>
      <c r="M27" s="39"/>
      <c r="N27" s="45"/>
      <c r="O27" s="39"/>
    </row>
    <row r="28" customFormat="false" ht="15" hidden="false" customHeight="false" outlineLevel="0" collapsed="false">
      <c r="A28" s="39"/>
      <c r="B28" s="39"/>
      <c r="C28" s="39"/>
      <c r="D28" s="39"/>
      <c r="E28" s="39"/>
      <c r="F28" s="39"/>
      <c r="G28" s="39"/>
      <c r="H28" s="39"/>
      <c r="I28" s="39"/>
      <c r="J28" s="39"/>
      <c r="K28" s="39"/>
      <c r="L28" s="39"/>
      <c r="M28" s="39"/>
      <c r="N28" s="45"/>
      <c r="O28" s="39"/>
    </row>
    <row r="29" customFormat="false" ht="15" hidden="false" customHeight="false" outlineLevel="0" collapsed="false">
      <c r="A29" s="39"/>
      <c r="B29" s="39"/>
      <c r="C29" s="39"/>
      <c r="D29" s="39"/>
      <c r="E29" s="39"/>
      <c r="F29" s="39"/>
      <c r="G29" s="39"/>
      <c r="H29" s="39"/>
      <c r="I29" s="39"/>
      <c r="J29" s="39"/>
      <c r="K29" s="39"/>
      <c r="L29" s="39"/>
      <c r="M29" s="39"/>
      <c r="N29" s="45"/>
      <c r="O29" s="39"/>
    </row>
    <row r="30" customFormat="false" ht="15" hidden="false" customHeight="false" outlineLevel="0" collapsed="false">
      <c r="A30" s="39"/>
      <c r="B30" s="39"/>
      <c r="C30" s="39"/>
      <c r="D30" s="39"/>
      <c r="E30" s="39"/>
      <c r="F30" s="39"/>
      <c r="G30" s="39"/>
      <c r="H30" s="39"/>
      <c r="I30" s="39"/>
      <c r="J30" s="39"/>
      <c r="K30" s="39"/>
      <c r="L30" s="39"/>
      <c r="M30" s="39"/>
      <c r="N30" s="45"/>
      <c r="O30" s="39"/>
    </row>
    <row r="31" customFormat="false" ht="15" hidden="false" customHeight="false" outlineLevel="0" collapsed="false">
      <c r="A31" s="39"/>
      <c r="B31" s="39"/>
      <c r="C31" s="39"/>
      <c r="D31" s="39"/>
      <c r="E31" s="39"/>
      <c r="F31" s="39"/>
      <c r="G31" s="39"/>
      <c r="H31" s="39"/>
      <c r="I31" s="39"/>
      <c r="J31" s="39"/>
      <c r="K31" s="39"/>
      <c r="L31" s="39"/>
      <c r="M31" s="39"/>
      <c r="N31" s="45"/>
      <c r="O31" s="39"/>
    </row>
    <row r="32" customFormat="false" ht="15" hidden="false" customHeight="false" outlineLevel="0" collapsed="false">
      <c r="A32" s="39"/>
      <c r="B32" s="39"/>
      <c r="C32" s="39"/>
      <c r="D32" s="39"/>
      <c r="E32" s="39"/>
      <c r="F32" s="39"/>
      <c r="G32" s="39"/>
      <c r="H32" s="39"/>
      <c r="I32" s="39"/>
      <c r="J32" s="39"/>
      <c r="K32" s="39"/>
      <c r="L32" s="39"/>
      <c r="M32" s="39"/>
      <c r="N32" s="45"/>
      <c r="O32" s="39"/>
    </row>
    <row r="33" customFormat="false" ht="15" hidden="false" customHeight="false" outlineLevel="0" collapsed="false">
      <c r="A33" s="39"/>
      <c r="B33" s="39"/>
      <c r="C33" s="39"/>
      <c r="D33" s="39"/>
      <c r="E33" s="39"/>
      <c r="F33" s="39"/>
      <c r="G33" s="39"/>
      <c r="H33" s="39"/>
      <c r="I33" s="39"/>
      <c r="J33" s="39"/>
      <c r="K33" s="39"/>
      <c r="L33" s="39"/>
      <c r="M33" s="39"/>
      <c r="N33" s="45"/>
      <c r="O33" s="39"/>
    </row>
    <row r="34" customFormat="false" ht="15" hidden="false" customHeight="false" outlineLevel="0" collapsed="false">
      <c r="A34" s="39"/>
      <c r="B34" s="39"/>
      <c r="C34" s="39"/>
      <c r="D34" s="39"/>
      <c r="E34" s="39"/>
      <c r="F34" s="39"/>
      <c r="G34" s="39"/>
      <c r="H34" s="39"/>
      <c r="I34" s="39"/>
      <c r="J34" s="39"/>
      <c r="K34" s="39"/>
      <c r="L34" s="39"/>
      <c r="M34" s="39"/>
      <c r="N34" s="45"/>
      <c r="O34" s="39"/>
    </row>
    <row r="35" customFormat="false" ht="15" hidden="false" customHeight="false" outlineLevel="0" collapsed="false">
      <c r="A35" s="39"/>
      <c r="B35" s="39"/>
      <c r="C35" s="39"/>
      <c r="D35" s="39"/>
      <c r="E35" s="39"/>
      <c r="F35" s="39"/>
      <c r="G35" s="39"/>
      <c r="H35" s="39"/>
      <c r="I35" s="39"/>
      <c r="J35" s="39"/>
      <c r="K35" s="39"/>
      <c r="L35" s="39"/>
      <c r="M35" s="39"/>
      <c r="N35" s="45"/>
      <c r="O35" s="39"/>
    </row>
    <row r="36" customFormat="false" ht="15" hidden="false" customHeight="false" outlineLevel="0" collapsed="false">
      <c r="A36" s="39"/>
      <c r="B36" s="39"/>
      <c r="C36" s="39"/>
      <c r="D36" s="39"/>
      <c r="E36" s="39"/>
      <c r="F36" s="39"/>
      <c r="G36" s="39"/>
      <c r="H36" s="39"/>
      <c r="I36" s="39"/>
      <c r="J36" s="39"/>
      <c r="K36" s="39"/>
      <c r="L36" s="39"/>
      <c r="M36" s="39"/>
      <c r="N36" s="45"/>
      <c r="O36" s="39"/>
    </row>
    <row r="37" customFormat="false" ht="15" hidden="false" customHeight="false" outlineLevel="0" collapsed="false">
      <c r="A37" s="39"/>
      <c r="B37" s="39"/>
      <c r="C37" s="39"/>
      <c r="D37" s="39"/>
      <c r="E37" s="39"/>
      <c r="F37" s="39"/>
      <c r="G37" s="39"/>
      <c r="H37" s="39"/>
      <c r="I37" s="39"/>
      <c r="J37" s="39"/>
      <c r="K37" s="39"/>
      <c r="L37" s="39"/>
      <c r="M37" s="39"/>
      <c r="N37" s="45"/>
      <c r="O37" s="39"/>
    </row>
    <row r="38" customFormat="false" ht="15" hidden="false" customHeight="false" outlineLevel="0" collapsed="false">
      <c r="A38" s="39"/>
      <c r="B38" s="39"/>
      <c r="C38" s="39"/>
      <c r="D38" s="39"/>
      <c r="E38" s="39"/>
      <c r="F38" s="39"/>
      <c r="G38" s="39"/>
      <c r="H38" s="39"/>
      <c r="I38" s="39"/>
      <c r="J38" s="39"/>
      <c r="K38" s="39"/>
      <c r="L38" s="39"/>
      <c r="M38" s="39"/>
      <c r="N38" s="45"/>
      <c r="O38" s="39"/>
    </row>
    <row r="39" customFormat="false" ht="15" hidden="false" customHeight="false" outlineLevel="0" collapsed="false">
      <c r="A39" s="39"/>
      <c r="B39" s="39"/>
      <c r="C39" s="39"/>
      <c r="D39" s="39"/>
      <c r="E39" s="39"/>
      <c r="F39" s="39"/>
      <c r="G39" s="39"/>
      <c r="H39" s="39"/>
      <c r="I39" s="39"/>
      <c r="J39" s="39"/>
      <c r="K39" s="39"/>
      <c r="L39" s="39"/>
      <c r="M39" s="39"/>
      <c r="N39" s="45"/>
      <c r="O39" s="39"/>
    </row>
    <row r="40" customFormat="false" ht="15" hidden="false" customHeight="false" outlineLevel="0" collapsed="false">
      <c r="A40" s="39"/>
      <c r="B40" s="39"/>
      <c r="C40" s="39"/>
      <c r="D40" s="39"/>
      <c r="E40" s="39"/>
      <c r="F40" s="39"/>
      <c r="G40" s="39"/>
      <c r="H40" s="39"/>
      <c r="I40" s="39"/>
      <c r="J40" s="39"/>
      <c r="K40" s="39"/>
      <c r="L40" s="39"/>
      <c r="M40" s="39"/>
      <c r="N40" s="45"/>
      <c r="O40" s="39"/>
    </row>
    <row r="41" customFormat="false" ht="15" hidden="false" customHeight="false" outlineLevel="0" collapsed="false">
      <c r="A41" s="39"/>
      <c r="B41" s="39"/>
      <c r="C41" s="39"/>
      <c r="D41" s="39"/>
      <c r="E41" s="39"/>
      <c r="F41" s="39"/>
      <c r="G41" s="39"/>
      <c r="H41" s="39"/>
      <c r="I41" s="39"/>
      <c r="J41" s="39"/>
      <c r="K41" s="39"/>
      <c r="L41" s="39"/>
      <c r="M41" s="39"/>
      <c r="N41" s="45"/>
      <c r="O41" s="39"/>
    </row>
    <row r="42" customFormat="false" ht="15" hidden="false" customHeight="false" outlineLevel="0" collapsed="false">
      <c r="A42" s="39"/>
      <c r="B42" s="39"/>
      <c r="C42" s="39"/>
      <c r="D42" s="39"/>
      <c r="E42" s="39"/>
      <c r="F42" s="39"/>
      <c r="G42" s="39"/>
      <c r="H42" s="39"/>
      <c r="I42" s="39"/>
      <c r="J42" s="39"/>
      <c r="K42" s="39"/>
      <c r="L42" s="39"/>
      <c r="M42" s="39"/>
      <c r="N42" s="45"/>
      <c r="O42" s="39"/>
    </row>
    <row r="43" customFormat="false" ht="15" hidden="false" customHeight="false" outlineLevel="0" collapsed="false">
      <c r="A43" s="39"/>
      <c r="B43" s="39"/>
      <c r="C43" s="39"/>
      <c r="D43" s="39"/>
      <c r="E43" s="39"/>
      <c r="F43" s="39"/>
      <c r="G43" s="39"/>
      <c r="H43" s="39"/>
      <c r="I43" s="39"/>
      <c r="J43" s="39"/>
      <c r="K43" s="39"/>
      <c r="L43" s="39"/>
      <c r="M43" s="39"/>
      <c r="N43" s="45"/>
      <c r="O43" s="39"/>
    </row>
    <row r="44" customFormat="false" ht="15" hidden="false" customHeight="false" outlineLevel="0" collapsed="false">
      <c r="A44" s="39"/>
      <c r="B44" s="39"/>
      <c r="C44" s="39"/>
      <c r="D44" s="39"/>
      <c r="E44" s="39"/>
      <c r="F44" s="39"/>
      <c r="G44" s="39"/>
      <c r="H44" s="39"/>
      <c r="I44" s="39"/>
      <c r="J44" s="39"/>
      <c r="K44" s="39"/>
      <c r="L44" s="39"/>
      <c r="M44" s="39"/>
      <c r="N44" s="45"/>
      <c r="O44" s="39"/>
    </row>
    <row r="45" customFormat="false" ht="15" hidden="false" customHeight="false" outlineLevel="0" collapsed="false">
      <c r="A45" s="39"/>
      <c r="B45" s="39"/>
      <c r="C45" s="39"/>
      <c r="D45" s="39"/>
      <c r="E45" s="39"/>
      <c r="F45" s="39"/>
      <c r="G45" s="39"/>
      <c r="H45" s="39"/>
      <c r="I45" s="39"/>
      <c r="J45" s="39"/>
      <c r="K45" s="39"/>
      <c r="L45" s="39"/>
      <c r="M45" s="39"/>
      <c r="N45" s="45"/>
      <c r="O45" s="39"/>
    </row>
    <row r="46" customFormat="false" ht="15" hidden="false" customHeight="false" outlineLevel="0" collapsed="false">
      <c r="A46" s="39"/>
      <c r="B46" s="39"/>
      <c r="C46" s="39"/>
      <c r="D46" s="39"/>
      <c r="E46" s="39"/>
      <c r="F46" s="39"/>
      <c r="G46" s="39"/>
      <c r="H46" s="39"/>
      <c r="I46" s="39"/>
      <c r="J46" s="39"/>
      <c r="K46" s="39"/>
      <c r="L46" s="39"/>
      <c r="M46" s="39"/>
      <c r="N46" s="45"/>
      <c r="O46" s="39"/>
    </row>
    <row r="47" customFormat="false" ht="15" hidden="false" customHeight="false" outlineLevel="0" collapsed="false">
      <c r="A47" s="39"/>
      <c r="B47" s="39"/>
      <c r="C47" s="39"/>
      <c r="D47" s="39"/>
      <c r="E47" s="39"/>
      <c r="F47" s="39"/>
      <c r="G47" s="39"/>
      <c r="H47" s="39"/>
      <c r="I47" s="39"/>
      <c r="J47" s="39"/>
      <c r="K47" s="39"/>
      <c r="L47" s="39"/>
      <c r="M47" s="39"/>
      <c r="N47" s="45"/>
      <c r="O47" s="39"/>
    </row>
    <row r="48" customFormat="false" ht="15" hidden="false" customHeight="false" outlineLevel="0" collapsed="false">
      <c r="A48" s="39"/>
      <c r="B48" s="39"/>
      <c r="C48" s="39"/>
      <c r="D48" s="39"/>
      <c r="E48" s="39"/>
      <c r="F48" s="39"/>
      <c r="G48" s="39"/>
      <c r="H48" s="39"/>
      <c r="I48" s="39"/>
      <c r="J48" s="39"/>
      <c r="K48" s="39"/>
      <c r="L48" s="39"/>
      <c r="M48" s="39"/>
      <c r="N48" s="45"/>
      <c r="O48" s="39"/>
    </row>
    <row r="49" customFormat="false" ht="15" hidden="false" customHeight="false" outlineLevel="0" collapsed="false">
      <c r="A49" s="39"/>
      <c r="B49" s="39"/>
      <c r="C49" s="39"/>
      <c r="D49" s="39"/>
      <c r="E49" s="39"/>
      <c r="F49" s="39"/>
      <c r="G49" s="39"/>
      <c r="H49" s="39"/>
      <c r="I49" s="39"/>
      <c r="J49" s="39"/>
      <c r="K49" s="39"/>
      <c r="L49" s="39"/>
      <c r="M49" s="39"/>
      <c r="N49" s="45"/>
      <c r="O49" s="39"/>
    </row>
    <row r="50" customFormat="false" ht="15" hidden="false" customHeight="false" outlineLevel="0" collapsed="false">
      <c r="A50" s="39"/>
      <c r="B50" s="39"/>
      <c r="C50" s="39"/>
      <c r="D50" s="39"/>
      <c r="E50" s="39"/>
      <c r="F50" s="39"/>
      <c r="G50" s="39"/>
      <c r="H50" s="39"/>
      <c r="I50" s="39"/>
      <c r="J50" s="39"/>
      <c r="K50" s="39"/>
      <c r="L50" s="39"/>
      <c r="M50" s="39"/>
      <c r="N50" s="45"/>
      <c r="O50" s="39"/>
    </row>
    <row r="51" customFormat="false" ht="15" hidden="false" customHeight="false" outlineLevel="0" collapsed="false">
      <c r="A51" s="39"/>
      <c r="B51" s="39"/>
      <c r="C51" s="39"/>
      <c r="D51" s="39"/>
      <c r="E51" s="39"/>
      <c r="F51" s="39"/>
      <c r="G51" s="39"/>
      <c r="H51" s="39"/>
      <c r="I51" s="39"/>
      <c r="J51" s="39"/>
      <c r="K51" s="39"/>
      <c r="L51" s="39"/>
      <c r="M51" s="39"/>
      <c r="N51" s="45"/>
      <c r="O51" s="39"/>
    </row>
    <row r="52" customFormat="false" ht="15" hidden="false" customHeight="false" outlineLevel="0" collapsed="false">
      <c r="A52" s="39"/>
      <c r="B52" s="39"/>
      <c r="C52" s="39"/>
      <c r="D52" s="39"/>
      <c r="E52" s="39"/>
      <c r="F52" s="39"/>
      <c r="G52" s="39"/>
      <c r="H52" s="39"/>
      <c r="I52" s="39"/>
      <c r="J52" s="39"/>
      <c r="K52" s="39"/>
      <c r="L52" s="39"/>
      <c r="M52" s="39"/>
      <c r="N52" s="45"/>
      <c r="O52" s="39"/>
    </row>
    <row r="53" customFormat="false" ht="15" hidden="false" customHeight="false" outlineLevel="0" collapsed="false">
      <c r="A53" s="39"/>
      <c r="B53" s="39"/>
      <c r="C53" s="39"/>
      <c r="D53" s="39"/>
      <c r="E53" s="39"/>
      <c r="F53" s="39"/>
      <c r="G53" s="39"/>
      <c r="H53" s="39"/>
      <c r="I53" s="39"/>
      <c r="J53" s="39"/>
      <c r="K53" s="39"/>
      <c r="L53" s="39"/>
      <c r="M53" s="39"/>
      <c r="N53" s="45"/>
      <c r="O53" s="39"/>
    </row>
    <row r="54" customFormat="false" ht="15" hidden="false" customHeight="false" outlineLevel="0" collapsed="false">
      <c r="A54" s="39"/>
      <c r="B54" s="39"/>
      <c r="C54" s="39"/>
      <c r="D54" s="39"/>
      <c r="E54" s="39"/>
      <c r="F54" s="39"/>
      <c r="G54" s="39"/>
      <c r="H54" s="39"/>
      <c r="I54" s="39"/>
      <c r="J54" s="39"/>
      <c r="K54" s="39"/>
      <c r="L54" s="39"/>
      <c r="M54" s="39"/>
      <c r="N54" s="45"/>
      <c r="O54" s="39"/>
    </row>
    <row r="55" customFormat="false" ht="15" hidden="false" customHeight="false" outlineLevel="0" collapsed="false">
      <c r="A55" s="39"/>
      <c r="B55" s="39"/>
      <c r="C55" s="39"/>
      <c r="D55" s="39"/>
      <c r="E55" s="39"/>
      <c r="F55" s="39"/>
      <c r="G55" s="39"/>
      <c r="H55" s="39"/>
      <c r="I55" s="39"/>
      <c r="J55" s="39"/>
      <c r="K55" s="39"/>
      <c r="L55" s="39"/>
      <c r="M55" s="39"/>
      <c r="N55" s="45"/>
      <c r="O55" s="39"/>
    </row>
    <row r="56" customFormat="false" ht="15" hidden="false" customHeight="false" outlineLevel="0" collapsed="false">
      <c r="A56" s="39"/>
      <c r="B56" s="39"/>
      <c r="C56" s="39"/>
      <c r="D56" s="39"/>
      <c r="E56" s="39"/>
      <c r="F56" s="39"/>
      <c r="G56" s="39"/>
      <c r="H56" s="39"/>
      <c r="I56" s="39"/>
      <c r="J56" s="39"/>
      <c r="K56" s="39"/>
      <c r="L56" s="39"/>
      <c r="M56" s="39"/>
      <c r="N56" s="45"/>
      <c r="O56" s="39"/>
    </row>
    <row r="57" customFormat="false" ht="15" hidden="false" customHeight="false" outlineLevel="0" collapsed="false">
      <c r="A57" s="39"/>
      <c r="B57" s="39"/>
      <c r="C57" s="39"/>
      <c r="D57" s="39"/>
      <c r="E57" s="39"/>
      <c r="F57" s="39"/>
      <c r="G57" s="39"/>
      <c r="H57" s="39"/>
      <c r="I57" s="39"/>
      <c r="J57" s="39"/>
      <c r="K57" s="39"/>
      <c r="L57" s="39"/>
      <c r="M57" s="39"/>
      <c r="N57" s="45"/>
      <c r="O57" s="39"/>
    </row>
    <row r="58" customFormat="false" ht="15" hidden="false" customHeight="false" outlineLevel="0" collapsed="false">
      <c r="A58" s="39"/>
      <c r="B58" s="39"/>
      <c r="C58" s="39"/>
      <c r="D58" s="39"/>
      <c r="E58" s="39"/>
      <c r="F58" s="39"/>
      <c r="G58" s="39"/>
      <c r="H58" s="39"/>
      <c r="I58" s="39"/>
      <c r="J58" s="39"/>
      <c r="K58" s="39"/>
      <c r="L58" s="39"/>
      <c r="M58" s="39"/>
      <c r="N58" s="45"/>
      <c r="O58" s="39"/>
    </row>
    <row r="59" customFormat="false" ht="15" hidden="false" customHeight="false" outlineLevel="0" collapsed="false">
      <c r="A59" s="39"/>
      <c r="B59" s="39"/>
      <c r="C59" s="39"/>
      <c r="D59" s="39"/>
      <c r="E59" s="39"/>
      <c r="F59" s="39"/>
      <c r="G59" s="39"/>
      <c r="H59" s="39"/>
      <c r="I59" s="39"/>
      <c r="J59" s="39"/>
      <c r="K59" s="39"/>
      <c r="L59" s="39"/>
      <c r="M59" s="39"/>
      <c r="N59" s="45"/>
      <c r="O59" s="39"/>
    </row>
    <row r="60" customFormat="false" ht="15" hidden="false" customHeight="false" outlineLevel="0" collapsed="false">
      <c r="A60" s="39"/>
      <c r="B60" s="39"/>
      <c r="C60" s="39"/>
      <c r="D60" s="39"/>
      <c r="E60" s="39"/>
      <c r="F60" s="39"/>
      <c r="G60" s="39"/>
      <c r="H60" s="39"/>
      <c r="I60" s="39"/>
      <c r="J60" s="39"/>
      <c r="K60" s="39"/>
      <c r="L60" s="39"/>
      <c r="M60" s="39"/>
      <c r="N60" s="45"/>
      <c r="O60" s="39"/>
    </row>
    <row r="61" customFormat="false" ht="15" hidden="false" customHeight="false" outlineLevel="0" collapsed="false">
      <c r="A61" s="39"/>
      <c r="B61" s="39"/>
      <c r="C61" s="39"/>
      <c r="D61" s="39"/>
      <c r="E61" s="39"/>
      <c r="F61" s="39"/>
      <c r="G61" s="39"/>
      <c r="H61" s="39"/>
      <c r="I61" s="39"/>
      <c r="J61" s="39"/>
      <c r="K61" s="39"/>
      <c r="L61" s="39"/>
      <c r="M61" s="39"/>
      <c r="N61" s="45"/>
      <c r="O61" s="39"/>
    </row>
    <row r="62" customFormat="false" ht="15" hidden="false" customHeight="false" outlineLevel="0" collapsed="false">
      <c r="A62" s="39"/>
      <c r="B62" s="39"/>
      <c r="C62" s="39"/>
      <c r="D62" s="39"/>
      <c r="E62" s="39"/>
      <c r="F62" s="39"/>
      <c r="G62" s="39"/>
      <c r="H62" s="39"/>
      <c r="I62" s="39"/>
      <c r="J62" s="39"/>
      <c r="K62" s="39"/>
      <c r="L62" s="39"/>
      <c r="M62" s="39"/>
      <c r="N62" s="45"/>
      <c r="O62" s="39"/>
    </row>
    <row r="63" customFormat="false" ht="15" hidden="false" customHeight="false" outlineLevel="0" collapsed="false">
      <c r="A63" s="39"/>
      <c r="B63" s="39"/>
      <c r="C63" s="39"/>
      <c r="D63" s="39"/>
      <c r="E63" s="39"/>
      <c r="F63" s="39"/>
      <c r="G63" s="39"/>
      <c r="H63" s="39"/>
      <c r="I63" s="39"/>
      <c r="J63" s="39"/>
      <c r="K63" s="39"/>
      <c r="L63" s="39"/>
      <c r="M63" s="39"/>
      <c r="N63" s="45"/>
      <c r="O63" s="39"/>
    </row>
    <row r="64" customFormat="false" ht="15" hidden="false" customHeight="false" outlineLevel="0" collapsed="false">
      <c r="A64" s="39"/>
      <c r="B64" s="39"/>
      <c r="C64" s="39"/>
      <c r="D64" s="39"/>
      <c r="E64" s="39"/>
      <c r="F64" s="39"/>
      <c r="G64" s="39"/>
      <c r="H64" s="39"/>
      <c r="I64" s="39"/>
      <c r="J64" s="39"/>
      <c r="K64" s="39"/>
      <c r="L64" s="39"/>
      <c r="M64" s="39"/>
      <c r="N64" s="45"/>
      <c r="O64" s="39"/>
    </row>
    <row r="65" customFormat="false" ht="15" hidden="false" customHeight="false" outlineLevel="0" collapsed="false">
      <c r="A65" s="39"/>
      <c r="B65" s="39"/>
      <c r="C65" s="39"/>
      <c r="D65" s="39"/>
      <c r="E65" s="39"/>
      <c r="F65" s="39"/>
      <c r="G65" s="39"/>
      <c r="H65" s="39"/>
      <c r="I65" s="39"/>
      <c r="J65" s="39"/>
      <c r="K65" s="39"/>
      <c r="L65" s="39"/>
      <c r="M65" s="39"/>
      <c r="N65" s="45"/>
      <c r="O65" s="39"/>
    </row>
    <row r="66" customFormat="false" ht="15" hidden="false" customHeight="false" outlineLevel="0" collapsed="false">
      <c r="A66" s="39"/>
      <c r="B66" s="39"/>
      <c r="C66" s="39"/>
      <c r="D66" s="39"/>
      <c r="E66" s="39"/>
      <c r="F66" s="39"/>
      <c r="G66" s="39"/>
      <c r="H66" s="39"/>
      <c r="I66" s="39"/>
      <c r="J66" s="39"/>
      <c r="K66" s="39"/>
      <c r="L66" s="39"/>
      <c r="M66" s="39"/>
      <c r="N66" s="45"/>
      <c r="O66" s="39"/>
    </row>
    <row r="67" customFormat="false" ht="15" hidden="false" customHeight="false" outlineLevel="0" collapsed="false">
      <c r="A67" s="39"/>
      <c r="B67" s="39"/>
      <c r="C67" s="39"/>
      <c r="D67" s="39"/>
      <c r="E67" s="39"/>
      <c r="F67" s="39"/>
      <c r="G67" s="39"/>
      <c r="H67" s="39"/>
      <c r="I67" s="39"/>
      <c r="J67" s="39"/>
      <c r="K67" s="39"/>
      <c r="L67" s="39"/>
      <c r="M67" s="39"/>
      <c r="N67" s="45"/>
      <c r="O67" s="39"/>
    </row>
    <row r="68" customFormat="false" ht="15" hidden="false" customHeight="false" outlineLevel="0" collapsed="false">
      <c r="A68" s="39"/>
      <c r="B68" s="39"/>
      <c r="C68" s="39"/>
      <c r="D68" s="39"/>
      <c r="E68" s="39"/>
      <c r="F68" s="39"/>
      <c r="G68" s="39"/>
      <c r="H68" s="39"/>
      <c r="I68" s="39"/>
      <c r="J68" s="39"/>
      <c r="K68" s="39"/>
      <c r="L68" s="39"/>
      <c r="M68" s="39"/>
      <c r="N68" s="45"/>
      <c r="O68" s="39"/>
    </row>
    <row r="69" customFormat="false" ht="15" hidden="false" customHeight="false" outlineLevel="0" collapsed="false">
      <c r="A69" s="39"/>
      <c r="B69" s="39"/>
      <c r="C69" s="39"/>
      <c r="D69" s="39"/>
      <c r="E69" s="39"/>
      <c r="F69" s="39"/>
      <c r="G69" s="39"/>
      <c r="H69" s="39"/>
      <c r="I69" s="39"/>
      <c r="J69" s="39"/>
      <c r="K69" s="39"/>
      <c r="L69" s="39"/>
      <c r="M69" s="39"/>
      <c r="N69" s="45"/>
      <c r="O69" s="39"/>
    </row>
    <row r="70" customFormat="false" ht="15" hidden="false" customHeight="false" outlineLevel="0" collapsed="false">
      <c r="A70" s="39"/>
      <c r="B70" s="39"/>
      <c r="C70" s="39"/>
      <c r="D70" s="39"/>
      <c r="E70" s="39"/>
      <c r="F70" s="39"/>
      <c r="G70" s="39"/>
      <c r="H70" s="39"/>
      <c r="I70" s="39"/>
      <c r="J70" s="39"/>
      <c r="K70" s="39"/>
      <c r="L70" s="39"/>
      <c r="M70" s="39"/>
      <c r="N70" s="45"/>
      <c r="O70" s="39"/>
    </row>
    <row r="71" customFormat="false" ht="15" hidden="false" customHeight="false" outlineLevel="0" collapsed="false">
      <c r="A71" s="39"/>
      <c r="B71" s="39"/>
      <c r="C71" s="39"/>
      <c r="D71" s="39"/>
      <c r="E71" s="39"/>
      <c r="F71" s="39"/>
      <c r="G71" s="39"/>
      <c r="H71" s="39"/>
      <c r="I71" s="39"/>
      <c r="J71" s="39"/>
      <c r="K71" s="39"/>
      <c r="L71" s="39"/>
      <c r="M71" s="39"/>
      <c r="N71" s="45"/>
      <c r="O71" s="39"/>
    </row>
    <row r="72" customFormat="false" ht="15" hidden="false" customHeight="false" outlineLevel="0" collapsed="false">
      <c r="A72" s="39"/>
      <c r="B72" s="39"/>
      <c r="C72" s="39"/>
      <c r="D72" s="39"/>
      <c r="E72" s="39"/>
      <c r="F72" s="39"/>
      <c r="G72" s="39"/>
      <c r="H72" s="39"/>
      <c r="I72" s="39"/>
      <c r="J72" s="39"/>
      <c r="K72" s="39"/>
      <c r="L72" s="39"/>
      <c r="M72" s="39"/>
      <c r="N72" s="45"/>
      <c r="O72" s="39"/>
    </row>
    <row r="73" customFormat="false" ht="15" hidden="false" customHeight="false" outlineLevel="0" collapsed="false">
      <c r="A73" s="39"/>
      <c r="B73" s="39"/>
      <c r="C73" s="39"/>
      <c r="D73" s="39"/>
      <c r="E73" s="39"/>
      <c r="F73" s="39"/>
      <c r="G73" s="39"/>
      <c r="H73" s="39"/>
      <c r="I73" s="39"/>
      <c r="J73" s="39"/>
      <c r="K73" s="39"/>
      <c r="L73" s="39"/>
      <c r="M73" s="39"/>
      <c r="N73" s="45"/>
      <c r="O73" s="39"/>
    </row>
    <row r="74" customFormat="false" ht="15" hidden="false" customHeight="false" outlineLevel="0" collapsed="false">
      <c r="A74" s="39"/>
      <c r="B74" s="39"/>
      <c r="C74" s="39"/>
      <c r="D74" s="39"/>
      <c r="E74" s="39"/>
      <c r="F74" s="39"/>
      <c r="G74" s="39"/>
      <c r="H74" s="39"/>
      <c r="I74" s="39"/>
      <c r="J74" s="39"/>
      <c r="K74" s="39"/>
      <c r="L74" s="39"/>
      <c r="M74" s="39"/>
      <c r="N74" s="45"/>
      <c r="O74" s="39"/>
    </row>
    <row r="75" customFormat="false" ht="15" hidden="false" customHeight="false" outlineLevel="0" collapsed="false">
      <c r="A75" s="39"/>
      <c r="B75" s="39"/>
      <c r="C75" s="39"/>
      <c r="D75" s="39"/>
      <c r="E75" s="39"/>
      <c r="F75" s="39"/>
      <c r="G75" s="39"/>
      <c r="H75" s="39"/>
      <c r="I75" s="39"/>
      <c r="J75" s="39"/>
      <c r="K75" s="39"/>
      <c r="L75" s="39"/>
      <c r="M75" s="39"/>
      <c r="N75" s="45"/>
      <c r="O75" s="39"/>
    </row>
    <row r="76" customFormat="false" ht="15" hidden="false" customHeight="false" outlineLevel="0" collapsed="false">
      <c r="A76" s="39"/>
      <c r="B76" s="39"/>
      <c r="C76" s="39"/>
      <c r="D76" s="39"/>
      <c r="E76" s="39"/>
      <c r="F76" s="39"/>
      <c r="G76" s="39"/>
      <c r="H76" s="39"/>
      <c r="I76" s="39"/>
      <c r="J76" s="39"/>
      <c r="K76" s="39"/>
      <c r="L76" s="39"/>
      <c r="M76" s="39"/>
      <c r="N76" s="45"/>
      <c r="O76" s="39"/>
    </row>
    <row r="77" customFormat="false" ht="15" hidden="false" customHeight="false" outlineLevel="0" collapsed="false">
      <c r="A77" s="39"/>
      <c r="B77" s="39"/>
      <c r="C77" s="39"/>
      <c r="D77" s="39"/>
      <c r="E77" s="39"/>
      <c r="F77" s="39"/>
      <c r="G77" s="39"/>
      <c r="H77" s="39"/>
      <c r="I77" s="39"/>
      <c r="J77" s="39"/>
      <c r="K77" s="39"/>
      <c r="L77" s="39"/>
      <c r="M77" s="39"/>
      <c r="N77" s="45"/>
      <c r="O77" s="39"/>
    </row>
    <row r="78" customFormat="false" ht="15" hidden="false" customHeight="false" outlineLevel="0" collapsed="false">
      <c r="A78" s="39"/>
      <c r="B78" s="39"/>
      <c r="C78" s="39"/>
      <c r="D78" s="39"/>
      <c r="E78" s="39"/>
      <c r="F78" s="39"/>
      <c r="G78" s="39"/>
      <c r="H78" s="39"/>
      <c r="I78" s="39"/>
      <c r="J78" s="39"/>
      <c r="K78" s="39"/>
      <c r="L78" s="39"/>
      <c r="M78" s="39"/>
      <c r="N78" s="45"/>
      <c r="O78" s="39"/>
    </row>
    <row r="79" customFormat="false" ht="15" hidden="false" customHeight="false" outlineLevel="0" collapsed="false">
      <c r="A79" s="39"/>
      <c r="B79" s="39"/>
      <c r="C79" s="39"/>
      <c r="D79" s="39"/>
      <c r="E79" s="39"/>
      <c r="F79" s="39"/>
      <c r="G79" s="39"/>
      <c r="H79" s="39"/>
      <c r="I79" s="39"/>
      <c r="J79" s="39"/>
      <c r="K79" s="39"/>
      <c r="L79" s="39"/>
      <c r="M79" s="39"/>
      <c r="N79" s="45"/>
      <c r="O79" s="39"/>
    </row>
    <row r="80" customFormat="false" ht="15" hidden="false" customHeight="false" outlineLevel="0" collapsed="false">
      <c r="A80" s="39"/>
      <c r="B80" s="39"/>
      <c r="C80" s="39"/>
      <c r="D80" s="39"/>
      <c r="E80" s="39"/>
      <c r="F80" s="39"/>
      <c r="G80" s="39"/>
      <c r="H80" s="39"/>
      <c r="I80" s="39"/>
      <c r="J80" s="39"/>
      <c r="K80" s="39"/>
      <c r="L80" s="39"/>
      <c r="M80" s="39"/>
      <c r="N80" s="45"/>
      <c r="O80" s="39"/>
    </row>
    <row r="81" customFormat="false" ht="15" hidden="false" customHeight="false" outlineLevel="0" collapsed="false">
      <c r="A81" s="39"/>
      <c r="B81" s="39"/>
      <c r="C81" s="39"/>
      <c r="D81" s="39"/>
      <c r="E81" s="39"/>
      <c r="F81" s="39"/>
      <c r="G81" s="39"/>
      <c r="H81" s="39"/>
      <c r="I81" s="39"/>
      <c r="J81" s="39"/>
      <c r="K81" s="39"/>
      <c r="L81" s="39"/>
      <c r="M81" s="39"/>
      <c r="N81" s="45"/>
      <c r="O81" s="39"/>
    </row>
    <row r="82" customFormat="false" ht="15" hidden="false" customHeight="false" outlineLevel="0" collapsed="false">
      <c r="A82" s="39"/>
      <c r="B82" s="39"/>
      <c r="C82" s="39"/>
      <c r="D82" s="39"/>
      <c r="E82" s="39"/>
      <c r="F82" s="39"/>
      <c r="G82" s="39"/>
      <c r="H82" s="39"/>
      <c r="I82" s="39"/>
      <c r="J82" s="39"/>
      <c r="K82" s="39"/>
      <c r="L82" s="39"/>
      <c r="M82" s="39"/>
      <c r="N82" s="45"/>
      <c r="O82" s="39"/>
    </row>
    <row r="83" customFormat="false" ht="15" hidden="false" customHeight="false" outlineLevel="0" collapsed="false">
      <c r="A83" s="39"/>
      <c r="B83" s="39"/>
      <c r="C83" s="39"/>
      <c r="D83" s="39"/>
      <c r="E83" s="39"/>
      <c r="F83" s="39"/>
      <c r="G83" s="39"/>
      <c r="H83" s="39"/>
      <c r="I83" s="39"/>
      <c r="J83" s="39"/>
      <c r="K83" s="39"/>
      <c r="L83" s="39"/>
      <c r="M83" s="39"/>
      <c r="N83" s="45"/>
      <c r="O83" s="39"/>
    </row>
    <row r="84" customFormat="false" ht="15" hidden="false" customHeight="false" outlineLevel="0" collapsed="false">
      <c r="A84" s="39"/>
      <c r="B84" s="39"/>
      <c r="C84" s="39"/>
      <c r="D84" s="39"/>
      <c r="E84" s="39"/>
      <c r="F84" s="39"/>
      <c r="G84" s="39"/>
      <c r="H84" s="39"/>
      <c r="I84" s="39"/>
      <c r="J84" s="39"/>
      <c r="K84" s="39"/>
      <c r="L84" s="39"/>
      <c r="M84" s="39"/>
      <c r="N84" s="45"/>
      <c r="O84" s="39"/>
    </row>
    <row r="85" customFormat="false" ht="15" hidden="false" customHeight="false" outlineLevel="0" collapsed="false">
      <c r="A85" s="39"/>
      <c r="B85" s="39"/>
      <c r="C85" s="39"/>
      <c r="D85" s="39"/>
      <c r="E85" s="39"/>
      <c r="F85" s="39"/>
      <c r="G85" s="39"/>
      <c r="H85" s="39"/>
      <c r="I85" s="39"/>
      <c r="J85" s="39"/>
      <c r="K85" s="39"/>
      <c r="L85" s="39"/>
      <c r="M85" s="39"/>
      <c r="N85" s="45"/>
      <c r="O85" s="39"/>
    </row>
    <row r="86" customFormat="false" ht="15" hidden="false" customHeight="false" outlineLevel="0" collapsed="false">
      <c r="A86" s="39"/>
      <c r="B86" s="39"/>
      <c r="C86" s="39"/>
      <c r="D86" s="39"/>
      <c r="E86" s="39"/>
      <c r="F86" s="39"/>
      <c r="G86" s="39"/>
      <c r="H86" s="39"/>
      <c r="I86" s="39"/>
      <c r="J86" s="39"/>
      <c r="K86" s="39"/>
      <c r="L86" s="39"/>
      <c r="M86" s="39"/>
      <c r="N86" s="45"/>
      <c r="O86" s="39"/>
    </row>
    <row r="87" customFormat="false" ht="15" hidden="false" customHeight="false" outlineLevel="0" collapsed="false">
      <c r="A87" s="39"/>
      <c r="B87" s="39"/>
      <c r="C87" s="39"/>
      <c r="D87" s="39"/>
      <c r="E87" s="39"/>
      <c r="F87" s="39"/>
      <c r="G87" s="39"/>
      <c r="H87" s="39"/>
      <c r="I87" s="39"/>
      <c r="J87" s="39"/>
      <c r="K87" s="39"/>
      <c r="L87" s="39"/>
      <c r="M87" s="39"/>
      <c r="N87" s="45"/>
      <c r="O87" s="39"/>
    </row>
    <row r="88" customFormat="false" ht="15" hidden="false" customHeight="false" outlineLevel="0" collapsed="false">
      <c r="A88" s="39"/>
      <c r="B88" s="39"/>
      <c r="C88" s="39"/>
      <c r="D88" s="39"/>
      <c r="E88" s="39"/>
      <c r="F88" s="39"/>
      <c r="G88" s="39"/>
      <c r="H88" s="39"/>
      <c r="I88" s="39"/>
      <c r="J88" s="39"/>
      <c r="K88" s="39"/>
      <c r="L88" s="39"/>
      <c r="M88" s="39"/>
      <c r="N88" s="45"/>
      <c r="O88" s="39"/>
    </row>
    <row r="89" customFormat="false" ht="15" hidden="false" customHeight="false" outlineLevel="0" collapsed="false">
      <c r="A89" s="39"/>
      <c r="B89" s="39"/>
      <c r="C89" s="39"/>
      <c r="D89" s="39"/>
      <c r="E89" s="39"/>
      <c r="F89" s="39"/>
      <c r="G89" s="39"/>
      <c r="H89" s="39"/>
      <c r="I89" s="39"/>
      <c r="J89" s="39"/>
      <c r="K89" s="39"/>
      <c r="L89" s="39"/>
      <c r="M89" s="39"/>
      <c r="N89" s="45"/>
      <c r="O89" s="39"/>
    </row>
    <row r="90" customFormat="false" ht="15" hidden="false" customHeight="false" outlineLevel="0" collapsed="false">
      <c r="A90" s="39"/>
      <c r="B90" s="39"/>
      <c r="C90" s="39"/>
      <c r="D90" s="39"/>
      <c r="E90" s="39"/>
      <c r="F90" s="39"/>
      <c r="G90" s="39"/>
      <c r="H90" s="39"/>
      <c r="I90" s="39"/>
      <c r="J90" s="39"/>
      <c r="K90" s="39"/>
      <c r="L90" s="39"/>
      <c r="M90" s="39"/>
      <c r="N90" s="45"/>
      <c r="O90" s="39"/>
    </row>
    <row r="91" customFormat="false" ht="15" hidden="false" customHeight="false" outlineLevel="0" collapsed="false">
      <c r="A91" s="39"/>
      <c r="B91" s="39"/>
      <c r="C91" s="39"/>
      <c r="D91" s="39"/>
      <c r="E91" s="39"/>
      <c r="F91" s="39"/>
      <c r="G91" s="39"/>
      <c r="H91" s="39"/>
      <c r="I91" s="39"/>
      <c r="J91" s="39"/>
      <c r="K91" s="39"/>
      <c r="L91" s="39"/>
      <c r="M91" s="39"/>
      <c r="N91" s="45"/>
      <c r="O91" s="39"/>
    </row>
    <row r="92" customFormat="false" ht="15" hidden="false" customHeight="false" outlineLevel="0" collapsed="false">
      <c r="A92" s="39"/>
      <c r="B92" s="39"/>
      <c r="C92" s="39"/>
      <c r="D92" s="39"/>
      <c r="E92" s="39"/>
      <c r="F92" s="39"/>
      <c r="G92" s="39"/>
      <c r="H92" s="39"/>
      <c r="I92" s="39"/>
      <c r="J92" s="39"/>
      <c r="K92" s="39"/>
      <c r="L92" s="39"/>
      <c r="M92" s="39"/>
      <c r="N92" s="45"/>
      <c r="O92" s="39"/>
    </row>
    <row r="93" customFormat="false" ht="15" hidden="false" customHeight="false" outlineLevel="0" collapsed="false">
      <c r="A93" s="39"/>
      <c r="B93" s="39"/>
      <c r="C93" s="39"/>
      <c r="D93" s="39"/>
      <c r="E93" s="39"/>
      <c r="F93" s="39"/>
      <c r="G93" s="39"/>
      <c r="H93" s="39"/>
      <c r="I93" s="39"/>
      <c r="J93" s="39"/>
      <c r="K93" s="39"/>
      <c r="L93" s="39"/>
      <c r="M93" s="39"/>
      <c r="N93" s="45"/>
      <c r="O93" s="39"/>
    </row>
    <row r="94" customFormat="false" ht="15" hidden="false" customHeight="false" outlineLevel="0" collapsed="false">
      <c r="A94" s="39"/>
      <c r="B94" s="39"/>
      <c r="C94" s="39"/>
      <c r="D94" s="39"/>
      <c r="E94" s="39"/>
      <c r="F94" s="39"/>
      <c r="G94" s="39"/>
      <c r="H94" s="39"/>
      <c r="I94" s="39"/>
      <c r="J94" s="39"/>
      <c r="K94" s="39"/>
      <c r="L94" s="39"/>
      <c r="M94" s="39"/>
      <c r="N94" s="45"/>
      <c r="O94" s="39"/>
    </row>
    <row r="95" customFormat="false" ht="15" hidden="false" customHeight="false" outlineLevel="0" collapsed="false">
      <c r="A95" s="39"/>
      <c r="B95" s="39"/>
      <c r="C95" s="39"/>
      <c r="D95" s="39"/>
      <c r="E95" s="39"/>
      <c r="F95" s="39"/>
      <c r="G95" s="39"/>
      <c r="H95" s="39"/>
      <c r="I95" s="39"/>
      <c r="J95" s="39"/>
      <c r="K95" s="39"/>
      <c r="L95" s="39"/>
      <c r="M95" s="39"/>
      <c r="N95" s="45"/>
      <c r="O95" s="39"/>
    </row>
    <row r="96" customFormat="false" ht="15" hidden="false" customHeight="false" outlineLevel="0" collapsed="false">
      <c r="A96" s="39"/>
      <c r="B96" s="39"/>
      <c r="C96" s="39"/>
      <c r="D96" s="39"/>
      <c r="E96" s="39"/>
      <c r="F96" s="39"/>
      <c r="G96" s="39"/>
      <c r="H96" s="39"/>
      <c r="I96" s="39"/>
      <c r="J96" s="39"/>
      <c r="K96" s="39"/>
      <c r="L96" s="39"/>
      <c r="M96" s="39"/>
      <c r="N96" s="45"/>
      <c r="O96" s="39"/>
    </row>
    <row r="97" customFormat="false" ht="15" hidden="false" customHeight="false" outlineLevel="0" collapsed="false">
      <c r="A97" s="39"/>
      <c r="B97" s="39"/>
      <c r="C97" s="39"/>
      <c r="D97" s="39"/>
      <c r="E97" s="39"/>
      <c r="F97" s="39"/>
      <c r="G97" s="39"/>
      <c r="H97" s="39"/>
      <c r="I97" s="39"/>
      <c r="J97" s="39"/>
      <c r="K97" s="39"/>
      <c r="L97" s="39"/>
      <c r="M97" s="39"/>
      <c r="N97" s="45"/>
      <c r="O97" s="39"/>
    </row>
    <row r="98" customFormat="false" ht="15" hidden="false" customHeight="false" outlineLevel="0" collapsed="false">
      <c r="A98" s="39"/>
      <c r="B98" s="39"/>
      <c r="C98" s="39"/>
      <c r="D98" s="39"/>
      <c r="E98" s="39"/>
      <c r="F98" s="39"/>
      <c r="G98" s="39"/>
      <c r="H98" s="39"/>
      <c r="I98" s="39"/>
      <c r="J98" s="39"/>
      <c r="K98" s="39"/>
      <c r="L98" s="39"/>
      <c r="M98" s="39"/>
      <c r="N98" s="45"/>
      <c r="O98" s="39"/>
    </row>
    <row r="99" customFormat="false" ht="15" hidden="false" customHeight="false" outlineLevel="0" collapsed="false">
      <c r="A99" s="39"/>
      <c r="B99" s="39"/>
      <c r="C99" s="39"/>
      <c r="D99" s="39"/>
      <c r="E99" s="39"/>
      <c r="F99" s="39"/>
      <c r="G99" s="39"/>
      <c r="H99" s="39"/>
      <c r="I99" s="39"/>
      <c r="J99" s="39"/>
      <c r="K99" s="39"/>
      <c r="L99" s="39"/>
      <c r="M99" s="39"/>
      <c r="N99" s="45"/>
      <c r="O99" s="39"/>
    </row>
    <row r="100" customFormat="false" ht="15" hidden="false" customHeight="false" outlineLevel="0" collapsed="false">
      <c r="A100" s="39"/>
      <c r="B100" s="39"/>
      <c r="C100" s="39"/>
      <c r="D100" s="39"/>
      <c r="E100" s="39"/>
      <c r="F100" s="39"/>
      <c r="G100" s="39"/>
      <c r="H100" s="39"/>
      <c r="I100" s="39"/>
      <c r="J100" s="39"/>
      <c r="K100" s="39"/>
      <c r="L100" s="39"/>
      <c r="M100" s="39"/>
      <c r="N100" s="45"/>
      <c r="O100" s="39"/>
    </row>
    <row r="101" customFormat="false" ht="15" hidden="false" customHeight="false" outlineLevel="0" collapsed="false">
      <c r="A101" s="39"/>
      <c r="B101" s="39"/>
      <c r="C101" s="39"/>
      <c r="D101" s="39"/>
      <c r="E101" s="39"/>
      <c r="F101" s="39"/>
      <c r="G101" s="39"/>
      <c r="H101" s="39"/>
      <c r="I101" s="39"/>
      <c r="J101" s="39"/>
      <c r="K101" s="39"/>
      <c r="L101" s="39"/>
      <c r="M101" s="39"/>
      <c r="N101" s="45"/>
      <c r="O101" s="39"/>
    </row>
    <row r="102" customFormat="false" ht="15" hidden="false" customHeight="false" outlineLevel="0" collapsed="false">
      <c r="A102" s="39"/>
      <c r="B102" s="39"/>
      <c r="C102" s="39"/>
      <c r="D102" s="39"/>
      <c r="E102" s="39"/>
      <c r="F102" s="39"/>
      <c r="G102" s="39"/>
      <c r="H102" s="39"/>
      <c r="I102" s="39"/>
      <c r="J102" s="39"/>
      <c r="K102" s="39"/>
      <c r="L102" s="39"/>
      <c r="M102" s="39"/>
      <c r="N102" s="45"/>
      <c r="O102" s="39"/>
    </row>
    <row r="103" customFormat="false" ht="15" hidden="false" customHeight="false" outlineLevel="0" collapsed="false">
      <c r="A103" s="39"/>
      <c r="B103" s="39"/>
      <c r="C103" s="39"/>
      <c r="D103" s="39"/>
      <c r="E103" s="39"/>
      <c r="F103" s="39"/>
      <c r="G103" s="39"/>
      <c r="H103" s="39"/>
      <c r="I103" s="39"/>
      <c r="J103" s="39"/>
      <c r="K103" s="39"/>
      <c r="L103" s="39"/>
      <c r="M103" s="39"/>
      <c r="N103" s="45"/>
      <c r="O103" s="39"/>
    </row>
    <row r="104" customFormat="false" ht="15" hidden="false" customHeight="false" outlineLevel="0" collapsed="false">
      <c r="A104" s="39"/>
      <c r="B104" s="39"/>
      <c r="C104" s="39"/>
      <c r="D104" s="39"/>
      <c r="E104" s="39"/>
      <c r="F104" s="39"/>
      <c r="G104" s="39"/>
      <c r="H104" s="39"/>
      <c r="I104" s="39"/>
      <c r="J104" s="39"/>
      <c r="K104" s="39"/>
      <c r="L104" s="39"/>
      <c r="M104" s="39"/>
      <c r="N104" s="45"/>
      <c r="O104" s="39"/>
    </row>
    <row r="105" customFormat="false" ht="15" hidden="false" customHeight="false" outlineLevel="0" collapsed="false">
      <c r="A105" s="39"/>
      <c r="B105" s="39"/>
      <c r="C105" s="39"/>
      <c r="D105" s="39"/>
      <c r="E105" s="39"/>
      <c r="F105" s="39"/>
      <c r="G105" s="39"/>
      <c r="H105" s="39"/>
      <c r="I105" s="39"/>
      <c r="J105" s="39"/>
      <c r="K105" s="39"/>
      <c r="L105" s="39"/>
      <c r="M105" s="39"/>
      <c r="N105" s="45"/>
      <c r="O105" s="39"/>
    </row>
  </sheetData>
  <mergeCells count="2">
    <mergeCell ref="A1:O1"/>
    <mergeCell ref="A2:O2"/>
  </mergeCells>
  <dataValidations count="4">
    <dataValidation allowBlank="true" error="Enter a number (hours, days, or GB as the header says)." errorStyle="stop" errorTitle="Number required" operator="greaterThanOrEqual" showDropDown="false" showErrorMessage="true" showInputMessage="false" sqref="N5:N105" type="decimal">
      <formula1>0</formula1>
      <formula2>0</formula2>
    </dataValidation>
    <dataValidation allowBlank="true" errorStyle="stop" operator="between" showDropDown="false" showErrorMessage="false" showInputMessage="false" sqref="D5:D105" type="list">
      <formula1>DRRole</formula1>
      <formula2>0</formula2>
    </dataValidation>
    <dataValidation allowBlank="true" errorStyle="stop" operator="between" showDropDown="false" showErrorMessage="false" showInputMessage="false" sqref="L5:L105" type="list">
      <formula1>YesNo</formula1>
      <formula2>0</formula2>
    </dataValidation>
    <dataValidation allowBlank="true" errorStyle="stop" operator="between" showDropDown="false" showErrorMessage="false" showInputMessage="false" sqref="M5:M105" type="list">
      <formula1>YesNo</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&amp;A&amp;R&amp;8 Powered by MSP Culture  |  v1.0  |  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8FF"/>
    <pageSetUpPr fitToPage="true"/>
  </sheetPr>
  <dimension ref="A1:P1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22"/>
    <col collapsed="false" customWidth="true" hidden="false" outlineLevel="0" max="4" min="4" style="0" width="18"/>
    <col collapsed="false" customWidth="true" hidden="false" outlineLevel="0" max="5" min="5" style="0" width="10"/>
    <col collapsed="false" customWidth="true" hidden="false" outlineLevel="0" max="7" min="6" style="0" width="14"/>
    <col collapsed="false" customWidth="true" hidden="false" outlineLevel="0" max="8" min="8" style="0" width="20"/>
    <col collapsed="false" customWidth="true" hidden="false" outlineLevel="0" max="9" min="9" style="0" width="14"/>
    <col collapsed="false" customWidth="true" hidden="false" outlineLevel="0" max="10" min="10" style="0" width="16"/>
    <col collapsed="false" customWidth="true" hidden="false" outlineLevel="0" max="12" min="11" style="0" width="18"/>
    <col collapsed="false" customWidth="true" hidden="false" outlineLevel="0" max="14" min="13" style="0" width="12"/>
    <col collapsed="false" customWidth="true" hidden="false" outlineLevel="0" max="15" min="15" style="0" width="18"/>
    <col collapsed="false" customWidth="true" hidden="false" outlineLevel="0" max="16" min="16" style="0" width="20"/>
  </cols>
  <sheetData>
    <row r="1" customFormat="false" ht="33.75" hidden="false" customHeight="true" outlineLevel="0" collapsed="false">
      <c r="A1" s="26" t="str">
        <f aca="false">IF(PreparedFor="","Vendors &amp; Third Parties","Vendors &amp; Third Parties  |  "&amp;PreparedFor)</f>
        <v>Vendors &amp; Third Parties</v>
      </c>
      <c r="B1" s="26"/>
      <c r="C1" s="26"/>
      <c r="D1" s="26"/>
      <c r="E1" s="26"/>
      <c r="F1" s="26"/>
      <c r="G1" s="26"/>
      <c r="H1" s="26"/>
      <c r="I1" s="26"/>
      <c r="J1" s="26"/>
      <c r="K1" s="26"/>
      <c r="L1" s="26"/>
      <c r="M1" s="26"/>
      <c r="N1" s="26"/>
      <c r="O1" s="26"/>
      <c r="P1" s="26"/>
    </row>
    <row r="2" customFormat="false" ht="48" hidden="false" customHeight="true" outlineLevel="0" collapsed="false">
      <c r="A2" s="27" t="s">
        <v>390</v>
      </c>
      <c r="B2" s="27"/>
      <c r="C2" s="27"/>
      <c r="D2" s="27"/>
      <c r="E2" s="27"/>
      <c r="F2" s="27"/>
      <c r="G2" s="27"/>
      <c r="H2" s="27"/>
      <c r="I2" s="27"/>
      <c r="J2" s="27"/>
      <c r="K2" s="27"/>
      <c r="L2" s="27"/>
      <c r="M2" s="27"/>
      <c r="N2" s="27"/>
      <c r="O2" s="27"/>
      <c r="P2" s="27"/>
    </row>
    <row r="3" customFormat="false" ht="42" hidden="false" customHeight="true" outlineLevel="0" collapsed="false">
      <c r="A3" s="33" t="s">
        <v>391</v>
      </c>
      <c r="B3" s="33" t="s">
        <v>292</v>
      </c>
      <c r="C3" s="33" t="s">
        <v>392</v>
      </c>
      <c r="D3" s="33" t="s">
        <v>393</v>
      </c>
      <c r="E3" s="33" t="s">
        <v>394</v>
      </c>
      <c r="F3" s="33" t="s">
        <v>395</v>
      </c>
      <c r="G3" s="33" t="s">
        <v>298</v>
      </c>
      <c r="H3" s="33" t="s">
        <v>396</v>
      </c>
      <c r="I3" s="33" t="s">
        <v>397</v>
      </c>
      <c r="J3" s="33" t="s">
        <v>398</v>
      </c>
      <c r="K3" s="33" t="s">
        <v>399</v>
      </c>
      <c r="L3" s="33" t="s">
        <v>400</v>
      </c>
      <c r="M3" s="33" t="s">
        <v>401</v>
      </c>
      <c r="N3" s="33" t="s">
        <v>402</v>
      </c>
      <c r="O3" s="33" t="s">
        <v>403</v>
      </c>
      <c r="P3" s="33" t="s">
        <v>177</v>
      </c>
    </row>
    <row r="4" customFormat="false" ht="66" hidden="false" customHeight="true" outlineLevel="0" collapsed="false">
      <c r="A4" s="35"/>
      <c r="B4" s="35"/>
      <c r="C4" s="35"/>
      <c r="D4" s="35"/>
      <c r="E4" s="35"/>
      <c r="F4" s="35"/>
      <c r="G4" s="35"/>
      <c r="H4" s="35"/>
      <c r="I4" s="35"/>
      <c r="J4" s="35"/>
      <c r="K4" s="35"/>
      <c r="L4" s="35"/>
      <c r="M4" s="35" t="s">
        <v>404</v>
      </c>
      <c r="N4" s="35" t="s">
        <v>405</v>
      </c>
      <c r="O4" s="35" t="s">
        <v>406</v>
      </c>
      <c r="P4" s="35"/>
    </row>
    <row r="5" customFormat="false" ht="22.35" hidden="false" customHeight="false" outlineLevel="0" collapsed="false">
      <c r="A5" s="36" t="s">
        <v>221</v>
      </c>
      <c r="B5" s="36" t="s">
        <v>407</v>
      </c>
      <c r="C5" s="36" t="s">
        <v>408</v>
      </c>
      <c r="D5" s="36" t="s">
        <v>221</v>
      </c>
      <c r="E5" s="36" t="s">
        <v>190</v>
      </c>
      <c r="F5" s="36" t="s">
        <v>409</v>
      </c>
      <c r="G5" s="36" t="s">
        <v>410</v>
      </c>
      <c r="H5" s="36" t="s">
        <v>411</v>
      </c>
      <c r="I5" s="36" t="s">
        <v>412</v>
      </c>
      <c r="J5" s="36" t="s">
        <v>413</v>
      </c>
      <c r="K5" s="36" t="s">
        <v>414</v>
      </c>
      <c r="L5" s="36" t="s">
        <v>415</v>
      </c>
      <c r="M5" s="42"/>
      <c r="N5" s="36" t="s">
        <v>192</v>
      </c>
      <c r="O5" s="36" t="s">
        <v>416</v>
      </c>
      <c r="P5" s="36"/>
    </row>
    <row r="6" customFormat="false" ht="15" hidden="false" customHeight="false" outlineLevel="0" collapsed="false">
      <c r="A6" s="39"/>
      <c r="B6" s="39"/>
      <c r="C6" s="39"/>
      <c r="D6" s="39"/>
      <c r="E6" s="39"/>
      <c r="F6" s="39"/>
      <c r="G6" s="39"/>
      <c r="H6" s="39"/>
      <c r="I6" s="39"/>
      <c r="J6" s="39"/>
      <c r="K6" s="39"/>
      <c r="L6" s="39"/>
      <c r="M6" s="43"/>
      <c r="N6" s="39"/>
      <c r="O6" s="39"/>
      <c r="P6" s="39"/>
    </row>
    <row r="7" customFormat="false" ht="15" hidden="false" customHeight="false" outlineLevel="0" collapsed="false">
      <c r="A7" s="39"/>
      <c r="B7" s="39"/>
      <c r="C7" s="39"/>
      <c r="D7" s="39"/>
      <c r="E7" s="39"/>
      <c r="F7" s="39"/>
      <c r="G7" s="39"/>
      <c r="H7" s="39"/>
      <c r="I7" s="39"/>
      <c r="J7" s="39"/>
      <c r="K7" s="39"/>
      <c r="L7" s="39"/>
      <c r="M7" s="43"/>
      <c r="N7" s="39"/>
      <c r="O7" s="39"/>
      <c r="P7" s="39"/>
    </row>
    <row r="8" customFormat="false" ht="15" hidden="false" customHeight="false" outlineLevel="0" collapsed="false">
      <c r="A8" s="39"/>
      <c r="B8" s="39"/>
      <c r="C8" s="39"/>
      <c r="D8" s="39"/>
      <c r="E8" s="39"/>
      <c r="F8" s="39"/>
      <c r="G8" s="39"/>
      <c r="H8" s="39"/>
      <c r="I8" s="39"/>
      <c r="J8" s="39"/>
      <c r="K8" s="39"/>
      <c r="L8" s="39"/>
      <c r="M8" s="43"/>
      <c r="N8" s="39"/>
      <c r="O8" s="39"/>
      <c r="P8" s="39"/>
    </row>
    <row r="9" customFormat="false" ht="15" hidden="false" customHeight="false" outlineLevel="0" collapsed="false">
      <c r="A9" s="39"/>
      <c r="B9" s="39"/>
      <c r="C9" s="39"/>
      <c r="D9" s="39"/>
      <c r="E9" s="39"/>
      <c r="F9" s="39"/>
      <c r="G9" s="39"/>
      <c r="H9" s="39"/>
      <c r="I9" s="39"/>
      <c r="J9" s="39"/>
      <c r="K9" s="39"/>
      <c r="L9" s="39"/>
      <c r="M9" s="43"/>
      <c r="N9" s="39"/>
      <c r="O9" s="39"/>
      <c r="P9" s="39"/>
    </row>
    <row r="10" customFormat="false" ht="15" hidden="false" customHeight="false" outlineLevel="0" collapsed="false">
      <c r="A10" s="39"/>
      <c r="B10" s="39"/>
      <c r="C10" s="39"/>
      <c r="D10" s="39"/>
      <c r="E10" s="39"/>
      <c r="F10" s="39"/>
      <c r="G10" s="39"/>
      <c r="H10" s="39"/>
      <c r="I10" s="39"/>
      <c r="J10" s="39"/>
      <c r="K10" s="39"/>
      <c r="L10" s="39"/>
      <c r="M10" s="43"/>
      <c r="N10" s="39"/>
      <c r="O10" s="39"/>
      <c r="P10" s="39"/>
    </row>
    <row r="11" customFormat="false" ht="15" hidden="false" customHeight="false" outlineLevel="0" collapsed="false">
      <c r="A11" s="39"/>
      <c r="B11" s="39"/>
      <c r="C11" s="39"/>
      <c r="D11" s="39"/>
      <c r="E11" s="39"/>
      <c r="F11" s="39"/>
      <c r="G11" s="39"/>
      <c r="H11" s="39"/>
      <c r="I11" s="39"/>
      <c r="J11" s="39"/>
      <c r="K11" s="39"/>
      <c r="L11" s="39"/>
      <c r="M11" s="43"/>
      <c r="N11" s="39"/>
      <c r="O11" s="39"/>
      <c r="P11" s="39"/>
    </row>
    <row r="12" customFormat="false" ht="15" hidden="false" customHeight="false" outlineLevel="0" collapsed="false">
      <c r="A12" s="39"/>
      <c r="B12" s="39"/>
      <c r="C12" s="39"/>
      <c r="D12" s="39"/>
      <c r="E12" s="39"/>
      <c r="F12" s="39"/>
      <c r="G12" s="39"/>
      <c r="H12" s="39"/>
      <c r="I12" s="39"/>
      <c r="J12" s="39"/>
      <c r="K12" s="39"/>
      <c r="L12" s="39"/>
      <c r="M12" s="43"/>
      <c r="N12" s="39"/>
      <c r="O12" s="39"/>
      <c r="P12" s="39"/>
    </row>
    <row r="13" customFormat="false" ht="15" hidden="false" customHeight="false" outlineLevel="0" collapsed="false">
      <c r="A13" s="39"/>
      <c r="B13" s="39"/>
      <c r="C13" s="39"/>
      <c r="D13" s="39"/>
      <c r="E13" s="39"/>
      <c r="F13" s="39"/>
      <c r="G13" s="39"/>
      <c r="H13" s="39"/>
      <c r="I13" s="39"/>
      <c r="J13" s="39"/>
      <c r="K13" s="39"/>
      <c r="L13" s="39"/>
      <c r="M13" s="43"/>
      <c r="N13" s="39"/>
      <c r="O13" s="39"/>
      <c r="P13" s="39"/>
    </row>
    <row r="14" customFormat="false" ht="15" hidden="false" customHeight="false" outlineLevel="0" collapsed="false">
      <c r="A14" s="39"/>
      <c r="B14" s="39"/>
      <c r="C14" s="39"/>
      <c r="D14" s="39"/>
      <c r="E14" s="39"/>
      <c r="F14" s="39"/>
      <c r="G14" s="39"/>
      <c r="H14" s="39"/>
      <c r="I14" s="39"/>
      <c r="J14" s="39"/>
      <c r="K14" s="39"/>
      <c r="L14" s="39"/>
      <c r="M14" s="43"/>
      <c r="N14" s="39"/>
      <c r="O14" s="39"/>
      <c r="P14" s="39"/>
    </row>
    <row r="15" customFormat="false" ht="15" hidden="false" customHeight="false" outlineLevel="0" collapsed="false">
      <c r="A15" s="39"/>
      <c r="B15" s="39"/>
      <c r="C15" s="39"/>
      <c r="D15" s="39"/>
      <c r="E15" s="39"/>
      <c r="F15" s="39"/>
      <c r="G15" s="39"/>
      <c r="H15" s="39"/>
      <c r="I15" s="39"/>
      <c r="J15" s="39"/>
      <c r="K15" s="39"/>
      <c r="L15" s="39"/>
      <c r="M15" s="43"/>
      <c r="N15" s="39"/>
      <c r="O15" s="39"/>
      <c r="P15" s="39"/>
    </row>
    <row r="16" customFormat="false" ht="15" hidden="false" customHeight="false" outlineLevel="0" collapsed="false">
      <c r="A16" s="39"/>
      <c r="B16" s="39"/>
      <c r="C16" s="39"/>
      <c r="D16" s="39"/>
      <c r="E16" s="39"/>
      <c r="F16" s="39"/>
      <c r="G16" s="39"/>
      <c r="H16" s="39"/>
      <c r="I16" s="39"/>
      <c r="J16" s="39"/>
      <c r="K16" s="39"/>
      <c r="L16" s="39"/>
      <c r="M16" s="43"/>
      <c r="N16" s="39"/>
      <c r="O16" s="39"/>
      <c r="P16" s="39"/>
    </row>
    <row r="17" customFormat="false" ht="15" hidden="false" customHeight="false" outlineLevel="0" collapsed="false">
      <c r="A17" s="39"/>
      <c r="B17" s="39"/>
      <c r="C17" s="39"/>
      <c r="D17" s="39"/>
      <c r="E17" s="39"/>
      <c r="F17" s="39"/>
      <c r="G17" s="39"/>
      <c r="H17" s="39"/>
      <c r="I17" s="39"/>
      <c r="J17" s="39"/>
      <c r="K17" s="39"/>
      <c r="L17" s="39"/>
      <c r="M17" s="43"/>
      <c r="N17" s="39"/>
      <c r="O17" s="39"/>
      <c r="P17" s="39"/>
    </row>
    <row r="18" customFormat="false" ht="15" hidden="false" customHeight="false" outlineLevel="0" collapsed="false">
      <c r="A18" s="39"/>
      <c r="B18" s="39"/>
      <c r="C18" s="39"/>
      <c r="D18" s="39"/>
      <c r="E18" s="39"/>
      <c r="F18" s="39"/>
      <c r="G18" s="39"/>
      <c r="H18" s="39"/>
      <c r="I18" s="39"/>
      <c r="J18" s="39"/>
      <c r="K18" s="39"/>
      <c r="L18" s="39"/>
      <c r="M18" s="43"/>
      <c r="N18" s="39"/>
      <c r="O18" s="39"/>
      <c r="P18" s="39"/>
    </row>
    <row r="19" customFormat="false" ht="15" hidden="false" customHeight="false" outlineLevel="0" collapsed="false">
      <c r="A19" s="39"/>
      <c r="B19" s="39"/>
      <c r="C19" s="39"/>
      <c r="D19" s="39"/>
      <c r="E19" s="39"/>
      <c r="F19" s="39"/>
      <c r="G19" s="39"/>
      <c r="H19" s="39"/>
      <c r="I19" s="39"/>
      <c r="J19" s="39"/>
      <c r="K19" s="39"/>
      <c r="L19" s="39"/>
      <c r="M19" s="43"/>
      <c r="N19" s="39"/>
      <c r="O19" s="39"/>
      <c r="P19" s="39"/>
    </row>
    <row r="20" customFormat="false" ht="15" hidden="false" customHeight="false" outlineLevel="0" collapsed="false">
      <c r="A20" s="39"/>
      <c r="B20" s="39"/>
      <c r="C20" s="39"/>
      <c r="D20" s="39"/>
      <c r="E20" s="39"/>
      <c r="F20" s="39"/>
      <c r="G20" s="39"/>
      <c r="H20" s="39"/>
      <c r="I20" s="39"/>
      <c r="J20" s="39"/>
      <c r="K20" s="39"/>
      <c r="L20" s="39"/>
      <c r="M20" s="43"/>
      <c r="N20" s="39"/>
      <c r="O20" s="39"/>
      <c r="P20" s="39"/>
    </row>
    <row r="21" customFormat="false" ht="15" hidden="false" customHeight="false" outlineLevel="0" collapsed="false">
      <c r="A21" s="39"/>
      <c r="B21" s="39"/>
      <c r="C21" s="39"/>
      <c r="D21" s="39"/>
      <c r="E21" s="39"/>
      <c r="F21" s="39"/>
      <c r="G21" s="39"/>
      <c r="H21" s="39"/>
      <c r="I21" s="39"/>
      <c r="J21" s="39"/>
      <c r="K21" s="39"/>
      <c r="L21" s="39"/>
      <c r="M21" s="43"/>
      <c r="N21" s="39"/>
      <c r="O21" s="39"/>
      <c r="P21" s="39"/>
    </row>
    <row r="22" customFormat="false" ht="15" hidden="false" customHeight="false" outlineLevel="0" collapsed="false">
      <c r="A22" s="39"/>
      <c r="B22" s="39"/>
      <c r="C22" s="39"/>
      <c r="D22" s="39"/>
      <c r="E22" s="39"/>
      <c r="F22" s="39"/>
      <c r="G22" s="39"/>
      <c r="H22" s="39"/>
      <c r="I22" s="39"/>
      <c r="J22" s="39"/>
      <c r="K22" s="39"/>
      <c r="L22" s="39"/>
      <c r="M22" s="43"/>
      <c r="N22" s="39"/>
      <c r="O22" s="39"/>
      <c r="P22" s="39"/>
    </row>
    <row r="23" customFormat="false" ht="15" hidden="false" customHeight="false" outlineLevel="0" collapsed="false">
      <c r="A23" s="39"/>
      <c r="B23" s="39"/>
      <c r="C23" s="39"/>
      <c r="D23" s="39"/>
      <c r="E23" s="39"/>
      <c r="F23" s="39"/>
      <c r="G23" s="39"/>
      <c r="H23" s="39"/>
      <c r="I23" s="39"/>
      <c r="J23" s="39"/>
      <c r="K23" s="39"/>
      <c r="L23" s="39"/>
      <c r="M23" s="43"/>
      <c r="N23" s="39"/>
      <c r="O23" s="39"/>
      <c r="P23" s="39"/>
    </row>
    <row r="24" customFormat="false" ht="15" hidden="false" customHeight="false" outlineLevel="0" collapsed="false">
      <c r="A24" s="39"/>
      <c r="B24" s="39"/>
      <c r="C24" s="39"/>
      <c r="D24" s="39"/>
      <c r="E24" s="39"/>
      <c r="F24" s="39"/>
      <c r="G24" s="39"/>
      <c r="H24" s="39"/>
      <c r="I24" s="39"/>
      <c r="J24" s="39"/>
      <c r="K24" s="39"/>
      <c r="L24" s="39"/>
      <c r="M24" s="43"/>
      <c r="N24" s="39"/>
      <c r="O24" s="39"/>
      <c r="P24" s="39"/>
    </row>
    <row r="25" customFormat="false" ht="15" hidden="false" customHeight="false" outlineLevel="0" collapsed="false">
      <c r="A25" s="39"/>
      <c r="B25" s="39"/>
      <c r="C25" s="39"/>
      <c r="D25" s="39"/>
      <c r="E25" s="39"/>
      <c r="F25" s="39"/>
      <c r="G25" s="39"/>
      <c r="H25" s="39"/>
      <c r="I25" s="39"/>
      <c r="J25" s="39"/>
      <c r="K25" s="39"/>
      <c r="L25" s="39"/>
      <c r="M25" s="43"/>
      <c r="N25" s="39"/>
      <c r="O25" s="39"/>
      <c r="P25" s="39"/>
    </row>
    <row r="26" customFormat="false" ht="15" hidden="false" customHeight="false" outlineLevel="0" collapsed="false">
      <c r="A26" s="39"/>
      <c r="B26" s="39"/>
      <c r="C26" s="39"/>
      <c r="D26" s="39"/>
      <c r="E26" s="39"/>
      <c r="F26" s="39"/>
      <c r="G26" s="39"/>
      <c r="H26" s="39"/>
      <c r="I26" s="39"/>
      <c r="J26" s="39"/>
      <c r="K26" s="39"/>
      <c r="L26" s="39"/>
      <c r="M26" s="43"/>
      <c r="N26" s="39"/>
      <c r="O26" s="39"/>
      <c r="P26" s="39"/>
    </row>
    <row r="27" customFormat="false" ht="15" hidden="false" customHeight="false" outlineLevel="0" collapsed="false">
      <c r="A27" s="39"/>
      <c r="B27" s="39"/>
      <c r="C27" s="39"/>
      <c r="D27" s="39"/>
      <c r="E27" s="39"/>
      <c r="F27" s="39"/>
      <c r="G27" s="39"/>
      <c r="H27" s="39"/>
      <c r="I27" s="39"/>
      <c r="J27" s="39"/>
      <c r="K27" s="39"/>
      <c r="L27" s="39"/>
      <c r="M27" s="43"/>
      <c r="N27" s="39"/>
      <c r="O27" s="39"/>
      <c r="P27" s="39"/>
    </row>
    <row r="28" customFormat="false" ht="15" hidden="false" customHeight="false" outlineLevel="0" collapsed="false">
      <c r="A28" s="39"/>
      <c r="B28" s="39"/>
      <c r="C28" s="39"/>
      <c r="D28" s="39"/>
      <c r="E28" s="39"/>
      <c r="F28" s="39"/>
      <c r="G28" s="39"/>
      <c r="H28" s="39"/>
      <c r="I28" s="39"/>
      <c r="J28" s="39"/>
      <c r="K28" s="39"/>
      <c r="L28" s="39"/>
      <c r="M28" s="43"/>
      <c r="N28" s="39"/>
      <c r="O28" s="39"/>
      <c r="P28" s="39"/>
    </row>
    <row r="29" customFormat="false" ht="15" hidden="false" customHeight="false" outlineLevel="0" collapsed="false">
      <c r="A29" s="39"/>
      <c r="B29" s="39"/>
      <c r="C29" s="39"/>
      <c r="D29" s="39"/>
      <c r="E29" s="39"/>
      <c r="F29" s="39"/>
      <c r="G29" s="39"/>
      <c r="H29" s="39"/>
      <c r="I29" s="39"/>
      <c r="J29" s="39"/>
      <c r="K29" s="39"/>
      <c r="L29" s="39"/>
      <c r="M29" s="43"/>
      <c r="N29" s="39"/>
      <c r="O29" s="39"/>
      <c r="P29" s="39"/>
    </row>
    <row r="30" customFormat="false" ht="15" hidden="false" customHeight="false" outlineLevel="0" collapsed="false">
      <c r="A30" s="39"/>
      <c r="B30" s="39"/>
      <c r="C30" s="39"/>
      <c r="D30" s="39"/>
      <c r="E30" s="39"/>
      <c r="F30" s="39"/>
      <c r="G30" s="39"/>
      <c r="H30" s="39"/>
      <c r="I30" s="39"/>
      <c r="J30" s="39"/>
      <c r="K30" s="39"/>
      <c r="L30" s="39"/>
      <c r="M30" s="43"/>
      <c r="N30" s="39"/>
      <c r="O30" s="39"/>
      <c r="P30" s="39"/>
    </row>
    <row r="31" customFormat="false" ht="15" hidden="false" customHeight="false" outlineLevel="0" collapsed="false">
      <c r="A31" s="39"/>
      <c r="B31" s="39"/>
      <c r="C31" s="39"/>
      <c r="D31" s="39"/>
      <c r="E31" s="39"/>
      <c r="F31" s="39"/>
      <c r="G31" s="39"/>
      <c r="H31" s="39"/>
      <c r="I31" s="39"/>
      <c r="J31" s="39"/>
      <c r="K31" s="39"/>
      <c r="L31" s="39"/>
      <c r="M31" s="43"/>
      <c r="N31" s="39"/>
      <c r="O31" s="39"/>
      <c r="P31" s="39"/>
    </row>
    <row r="32" customFormat="false" ht="15" hidden="false" customHeight="false" outlineLevel="0" collapsed="false">
      <c r="A32" s="39"/>
      <c r="B32" s="39"/>
      <c r="C32" s="39"/>
      <c r="D32" s="39"/>
      <c r="E32" s="39"/>
      <c r="F32" s="39"/>
      <c r="G32" s="39"/>
      <c r="H32" s="39"/>
      <c r="I32" s="39"/>
      <c r="J32" s="39"/>
      <c r="K32" s="39"/>
      <c r="L32" s="39"/>
      <c r="M32" s="43"/>
      <c r="N32" s="39"/>
      <c r="O32" s="39"/>
      <c r="P32" s="39"/>
    </row>
    <row r="33" customFormat="false" ht="15" hidden="false" customHeight="false" outlineLevel="0" collapsed="false">
      <c r="A33" s="39"/>
      <c r="B33" s="39"/>
      <c r="C33" s="39"/>
      <c r="D33" s="39"/>
      <c r="E33" s="39"/>
      <c r="F33" s="39"/>
      <c r="G33" s="39"/>
      <c r="H33" s="39"/>
      <c r="I33" s="39"/>
      <c r="J33" s="39"/>
      <c r="K33" s="39"/>
      <c r="L33" s="39"/>
      <c r="M33" s="43"/>
      <c r="N33" s="39"/>
      <c r="O33" s="39"/>
      <c r="P33" s="39"/>
    </row>
    <row r="34" customFormat="false" ht="15" hidden="false" customHeight="false" outlineLevel="0" collapsed="false">
      <c r="A34" s="39"/>
      <c r="B34" s="39"/>
      <c r="C34" s="39"/>
      <c r="D34" s="39"/>
      <c r="E34" s="39"/>
      <c r="F34" s="39"/>
      <c r="G34" s="39"/>
      <c r="H34" s="39"/>
      <c r="I34" s="39"/>
      <c r="J34" s="39"/>
      <c r="K34" s="39"/>
      <c r="L34" s="39"/>
      <c r="M34" s="43"/>
      <c r="N34" s="39"/>
      <c r="O34" s="39"/>
      <c r="P34" s="39"/>
    </row>
    <row r="35" customFormat="false" ht="15" hidden="false" customHeight="false" outlineLevel="0" collapsed="false">
      <c r="A35" s="39"/>
      <c r="B35" s="39"/>
      <c r="C35" s="39"/>
      <c r="D35" s="39"/>
      <c r="E35" s="39"/>
      <c r="F35" s="39"/>
      <c r="G35" s="39"/>
      <c r="H35" s="39"/>
      <c r="I35" s="39"/>
      <c r="J35" s="39"/>
      <c r="K35" s="39"/>
      <c r="L35" s="39"/>
      <c r="M35" s="43"/>
      <c r="N35" s="39"/>
      <c r="O35" s="39"/>
      <c r="P35" s="39"/>
    </row>
    <row r="36" customFormat="false" ht="15" hidden="false" customHeight="false" outlineLevel="0" collapsed="false">
      <c r="A36" s="39"/>
      <c r="B36" s="39"/>
      <c r="C36" s="39"/>
      <c r="D36" s="39"/>
      <c r="E36" s="39"/>
      <c r="F36" s="39"/>
      <c r="G36" s="39"/>
      <c r="H36" s="39"/>
      <c r="I36" s="39"/>
      <c r="J36" s="39"/>
      <c r="K36" s="39"/>
      <c r="L36" s="39"/>
      <c r="M36" s="43"/>
      <c r="N36" s="39"/>
      <c r="O36" s="39"/>
      <c r="P36" s="39"/>
    </row>
    <row r="37" customFormat="false" ht="15" hidden="false" customHeight="false" outlineLevel="0" collapsed="false">
      <c r="A37" s="39"/>
      <c r="B37" s="39"/>
      <c r="C37" s="39"/>
      <c r="D37" s="39"/>
      <c r="E37" s="39"/>
      <c r="F37" s="39"/>
      <c r="G37" s="39"/>
      <c r="H37" s="39"/>
      <c r="I37" s="39"/>
      <c r="J37" s="39"/>
      <c r="K37" s="39"/>
      <c r="L37" s="39"/>
      <c r="M37" s="43"/>
      <c r="N37" s="39"/>
      <c r="O37" s="39"/>
      <c r="P37" s="39"/>
    </row>
    <row r="38" customFormat="false" ht="15" hidden="false" customHeight="false" outlineLevel="0" collapsed="false">
      <c r="A38" s="39"/>
      <c r="B38" s="39"/>
      <c r="C38" s="39"/>
      <c r="D38" s="39"/>
      <c r="E38" s="39"/>
      <c r="F38" s="39"/>
      <c r="G38" s="39"/>
      <c r="H38" s="39"/>
      <c r="I38" s="39"/>
      <c r="J38" s="39"/>
      <c r="K38" s="39"/>
      <c r="L38" s="39"/>
      <c r="M38" s="43"/>
      <c r="N38" s="39"/>
      <c r="O38" s="39"/>
      <c r="P38" s="39"/>
    </row>
    <row r="39" customFormat="false" ht="15" hidden="false" customHeight="false" outlineLevel="0" collapsed="false">
      <c r="A39" s="39"/>
      <c r="B39" s="39"/>
      <c r="C39" s="39"/>
      <c r="D39" s="39"/>
      <c r="E39" s="39"/>
      <c r="F39" s="39"/>
      <c r="G39" s="39"/>
      <c r="H39" s="39"/>
      <c r="I39" s="39"/>
      <c r="J39" s="39"/>
      <c r="K39" s="39"/>
      <c r="L39" s="39"/>
      <c r="M39" s="43"/>
      <c r="N39" s="39"/>
      <c r="O39" s="39"/>
      <c r="P39" s="39"/>
    </row>
    <row r="40" customFormat="false" ht="15" hidden="false" customHeight="false" outlineLevel="0" collapsed="false">
      <c r="A40" s="39"/>
      <c r="B40" s="39"/>
      <c r="C40" s="39"/>
      <c r="D40" s="39"/>
      <c r="E40" s="39"/>
      <c r="F40" s="39"/>
      <c r="G40" s="39"/>
      <c r="H40" s="39"/>
      <c r="I40" s="39"/>
      <c r="J40" s="39"/>
      <c r="K40" s="39"/>
      <c r="L40" s="39"/>
      <c r="M40" s="43"/>
      <c r="N40" s="39"/>
      <c r="O40" s="39"/>
      <c r="P40" s="39"/>
    </row>
    <row r="41" customFormat="false" ht="15" hidden="false" customHeight="false" outlineLevel="0" collapsed="false">
      <c r="A41" s="39"/>
      <c r="B41" s="39"/>
      <c r="C41" s="39"/>
      <c r="D41" s="39"/>
      <c r="E41" s="39"/>
      <c r="F41" s="39"/>
      <c r="G41" s="39"/>
      <c r="H41" s="39"/>
      <c r="I41" s="39"/>
      <c r="J41" s="39"/>
      <c r="K41" s="39"/>
      <c r="L41" s="39"/>
      <c r="M41" s="43"/>
      <c r="N41" s="39"/>
      <c r="O41" s="39"/>
      <c r="P41" s="39"/>
    </row>
    <row r="42" customFormat="false" ht="15" hidden="false" customHeight="false" outlineLevel="0" collapsed="false">
      <c r="A42" s="39"/>
      <c r="B42" s="39"/>
      <c r="C42" s="39"/>
      <c r="D42" s="39"/>
      <c r="E42" s="39"/>
      <c r="F42" s="39"/>
      <c r="G42" s="39"/>
      <c r="H42" s="39"/>
      <c r="I42" s="39"/>
      <c r="J42" s="39"/>
      <c r="K42" s="39"/>
      <c r="L42" s="39"/>
      <c r="M42" s="43"/>
      <c r="N42" s="39"/>
      <c r="O42" s="39"/>
      <c r="P42" s="39"/>
    </row>
    <row r="43" customFormat="false" ht="15" hidden="false" customHeight="false" outlineLevel="0" collapsed="false">
      <c r="A43" s="39"/>
      <c r="B43" s="39"/>
      <c r="C43" s="39"/>
      <c r="D43" s="39"/>
      <c r="E43" s="39"/>
      <c r="F43" s="39"/>
      <c r="G43" s="39"/>
      <c r="H43" s="39"/>
      <c r="I43" s="39"/>
      <c r="J43" s="39"/>
      <c r="K43" s="39"/>
      <c r="L43" s="39"/>
      <c r="M43" s="43"/>
      <c r="N43" s="39"/>
      <c r="O43" s="39"/>
      <c r="P43" s="39"/>
    </row>
    <row r="44" customFormat="false" ht="15" hidden="false" customHeight="false" outlineLevel="0" collapsed="false">
      <c r="A44" s="39"/>
      <c r="B44" s="39"/>
      <c r="C44" s="39"/>
      <c r="D44" s="39"/>
      <c r="E44" s="39"/>
      <c r="F44" s="39"/>
      <c r="G44" s="39"/>
      <c r="H44" s="39"/>
      <c r="I44" s="39"/>
      <c r="J44" s="39"/>
      <c r="K44" s="39"/>
      <c r="L44" s="39"/>
      <c r="M44" s="43"/>
      <c r="N44" s="39"/>
      <c r="O44" s="39"/>
      <c r="P44" s="39"/>
    </row>
    <row r="45" customFormat="false" ht="15" hidden="false" customHeight="false" outlineLevel="0" collapsed="false">
      <c r="A45" s="39"/>
      <c r="B45" s="39"/>
      <c r="C45" s="39"/>
      <c r="D45" s="39"/>
      <c r="E45" s="39"/>
      <c r="F45" s="39"/>
      <c r="G45" s="39"/>
      <c r="H45" s="39"/>
      <c r="I45" s="39"/>
      <c r="J45" s="39"/>
      <c r="K45" s="39"/>
      <c r="L45" s="39"/>
      <c r="M45" s="43"/>
      <c r="N45" s="39"/>
      <c r="O45" s="39"/>
      <c r="P45" s="39"/>
    </row>
    <row r="46" customFormat="false" ht="15" hidden="false" customHeight="false" outlineLevel="0" collapsed="false">
      <c r="A46" s="39"/>
      <c r="B46" s="39"/>
      <c r="C46" s="39"/>
      <c r="D46" s="39"/>
      <c r="E46" s="39"/>
      <c r="F46" s="39"/>
      <c r="G46" s="39"/>
      <c r="H46" s="39"/>
      <c r="I46" s="39"/>
      <c r="J46" s="39"/>
      <c r="K46" s="39"/>
      <c r="L46" s="39"/>
      <c r="M46" s="43"/>
      <c r="N46" s="39"/>
      <c r="O46" s="39"/>
      <c r="P46" s="39"/>
    </row>
    <row r="47" customFormat="false" ht="15" hidden="false" customHeight="false" outlineLevel="0" collapsed="false">
      <c r="A47" s="39"/>
      <c r="B47" s="39"/>
      <c r="C47" s="39"/>
      <c r="D47" s="39"/>
      <c r="E47" s="39"/>
      <c r="F47" s="39"/>
      <c r="G47" s="39"/>
      <c r="H47" s="39"/>
      <c r="I47" s="39"/>
      <c r="J47" s="39"/>
      <c r="K47" s="39"/>
      <c r="L47" s="39"/>
      <c r="M47" s="43"/>
      <c r="N47" s="39"/>
      <c r="O47" s="39"/>
      <c r="P47" s="39"/>
    </row>
    <row r="48" customFormat="false" ht="15" hidden="false" customHeight="false" outlineLevel="0" collapsed="false">
      <c r="A48" s="39"/>
      <c r="B48" s="39"/>
      <c r="C48" s="39"/>
      <c r="D48" s="39"/>
      <c r="E48" s="39"/>
      <c r="F48" s="39"/>
      <c r="G48" s="39"/>
      <c r="H48" s="39"/>
      <c r="I48" s="39"/>
      <c r="J48" s="39"/>
      <c r="K48" s="39"/>
      <c r="L48" s="39"/>
      <c r="M48" s="43"/>
      <c r="N48" s="39"/>
      <c r="O48" s="39"/>
      <c r="P48" s="39"/>
    </row>
    <row r="49" customFormat="false" ht="15" hidden="false" customHeight="false" outlineLevel="0" collapsed="false">
      <c r="A49" s="39"/>
      <c r="B49" s="39"/>
      <c r="C49" s="39"/>
      <c r="D49" s="39"/>
      <c r="E49" s="39"/>
      <c r="F49" s="39"/>
      <c r="G49" s="39"/>
      <c r="H49" s="39"/>
      <c r="I49" s="39"/>
      <c r="J49" s="39"/>
      <c r="K49" s="39"/>
      <c r="L49" s="39"/>
      <c r="M49" s="43"/>
      <c r="N49" s="39"/>
      <c r="O49" s="39"/>
      <c r="P49" s="39"/>
    </row>
    <row r="50" customFormat="false" ht="15" hidden="false" customHeight="false" outlineLevel="0" collapsed="false">
      <c r="A50" s="39"/>
      <c r="B50" s="39"/>
      <c r="C50" s="39"/>
      <c r="D50" s="39"/>
      <c r="E50" s="39"/>
      <c r="F50" s="39"/>
      <c r="G50" s="39"/>
      <c r="H50" s="39"/>
      <c r="I50" s="39"/>
      <c r="J50" s="39"/>
      <c r="K50" s="39"/>
      <c r="L50" s="39"/>
      <c r="M50" s="43"/>
      <c r="N50" s="39"/>
      <c r="O50" s="39"/>
      <c r="P50" s="39"/>
    </row>
    <row r="51" customFormat="false" ht="15" hidden="false" customHeight="false" outlineLevel="0" collapsed="false">
      <c r="A51" s="39"/>
      <c r="B51" s="39"/>
      <c r="C51" s="39"/>
      <c r="D51" s="39"/>
      <c r="E51" s="39"/>
      <c r="F51" s="39"/>
      <c r="G51" s="39"/>
      <c r="H51" s="39"/>
      <c r="I51" s="39"/>
      <c r="J51" s="39"/>
      <c r="K51" s="39"/>
      <c r="L51" s="39"/>
      <c r="M51" s="43"/>
      <c r="N51" s="39"/>
      <c r="O51" s="39"/>
      <c r="P51" s="39"/>
    </row>
    <row r="52" customFormat="false" ht="15" hidden="false" customHeight="false" outlineLevel="0" collapsed="false">
      <c r="A52" s="39"/>
      <c r="B52" s="39"/>
      <c r="C52" s="39"/>
      <c r="D52" s="39"/>
      <c r="E52" s="39"/>
      <c r="F52" s="39"/>
      <c r="G52" s="39"/>
      <c r="H52" s="39"/>
      <c r="I52" s="39"/>
      <c r="J52" s="39"/>
      <c r="K52" s="39"/>
      <c r="L52" s="39"/>
      <c r="M52" s="43"/>
      <c r="N52" s="39"/>
      <c r="O52" s="39"/>
      <c r="P52" s="39"/>
    </row>
    <row r="53" customFormat="false" ht="15" hidden="false" customHeight="false" outlineLevel="0" collapsed="false">
      <c r="A53" s="39"/>
      <c r="B53" s="39"/>
      <c r="C53" s="39"/>
      <c r="D53" s="39"/>
      <c r="E53" s="39"/>
      <c r="F53" s="39"/>
      <c r="G53" s="39"/>
      <c r="H53" s="39"/>
      <c r="I53" s="39"/>
      <c r="J53" s="39"/>
      <c r="K53" s="39"/>
      <c r="L53" s="39"/>
      <c r="M53" s="43"/>
      <c r="N53" s="39"/>
      <c r="O53" s="39"/>
      <c r="P53" s="39"/>
    </row>
    <row r="54" customFormat="false" ht="15" hidden="false" customHeight="false" outlineLevel="0" collapsed="false">
      <c r="A54" s="39"/>
      <c r="B54" s="39"/>
      <c r="C54" s="39"/>
      <c r="D54" s="39"/>
      <c r="E54" s="39"/>
      <c r="F54" s="39"/>
      <c r="G54" s="39"/>
      <c r="H54" s="39"/>
      <c r="I54" s="39"/>
      <c r="J54" s="39"/>
      <c r="K54" s="39"/>
      <c r="L54" s="39"/>
      <c r="M54" s="43"/>
      <c r="N54" s="39"/>
      <c r="O54" s="39"/>
      <c r="P54" s="39"/>
    </row>
    <row r="55" customFormat="false" ht="15" hidden="false" customHeight="false" outlineLevel="0" collapsed="false">
      <c r="A55" s="39"/>
      <c r="B55" s="39"/>
      <c r="C55" s="39"/>
      <c r="D55" s="39"/>
      <c r="E55" s="39"/>
      <c r="F55" s="39"/>
      <c r="G55" s="39"/>
      <c r="H55" s="39"/>
      <c r="I55" s="39"/>
      <c r="J55" s="39"/>
      <c r="K55" s="39"/>
      <c r="L55" s="39"/>
      <c r="M55" s="43"/>
      <c r="N55" s="39"/>
      <c r="O55" s="39"/>
      <c r="P55" s="39"/>
    </row>
    <row r="56" customFormat="false" ht="15" hidden="false" customHeight="false" outlineLevel="0" collapsed="false">
      <c r="A56" s="39"/>
      <c r="B56" s="39"/>
      <c r="C56" s="39"/>
      <c r="D56" s="39"/>
      <c r="E56" s="39"/>
      <c r="F56" s="39"/>
      <c r="G56" s="39"/>
      <c r="H56" s="39"/>
      <c r="I56" s="39"/>
      <c r="J56" s="39"/>
      <c r="K56" s="39"/>
      <c r="L56" s="39"/>
      <c r="M56" s="43"/>
      <c r="N56" s="39"/>
      <c r="O56" s="39"/>
      <c r="P56" s="39"/>
    </row>
    <row r="57" customFormat="false" ht="15" hidden="false" customHeight="false" outlineLevel="0" collapsed="false">
      <c r="A57" s="39"/>
      <c r="B57" s="39"/>
      <c r="C57" s="39"/>
      <c r="D57" s="39"/>
      <c r="E57" s="39"/>
      <c r="F57" s="39"/>
      <c r="G57" s="39"/>
      <c r="H57" s="39"/>
      <c r="I57" s="39"/>
      <c r="J57" s="39"/>
      <c r="K57" s="39"/>
      <c r="L57" s="39"/>
      <c r="M57" s="43"/>
      <c r="N57" s="39"/>
      <c r="O57" s="39"/>
      <c r="P57" s="39"/>
    </row>
    <row r="58" customFormat="false" ht="15" hidden="false" customHeight="false" outlineLevel="0" collapsed="false">
      <c r="A58" s="39"/>
      <c r="B58" s="39"/>
      <c r="C58" s="39"/>
      <c r="D58" s="39"/>
      <c r="E58" s="39"/>
      <c r="F58" s="39"/>
      <c r="G58" s="39"/>
      <c r="H58" s="39"/>
      <c r="I58" s="39"/>
      <c r="J58" s="39"/>
      <c r="K58" s="39"/>
      <c r="L58" s="39"/>
      <c r="M58" s="43"/>
      <c r="N58" s="39"/>
      <c r="O58" s="39"/>
      <c r="P58" s="39"/>
    </row>
    <row r="59" customFormat="false" ht="15" hidden="false" customHeight="false" outlineLevel="0" collapsed="false">
      <c r="A59" s="39"/>
      <c r="B59" s="39"/>
      <c r="C59" s="39"/>
      <c r="D59" s="39"/>
      <c r="E59" s="39"/>
      <c r="F59" s="39"/>
      <c r="G59" s="39"/>
      <c r="H59" s="39"/>
      <c r="I59" s="39"/>
      <c r="J59" s="39"/>
      <c r="K59" s="39"/>
      <c r="L59" s="39"/>
      <c r="M59" s="43"/>
      <c r="N59" s="39"/>
      <c r="O59" s="39"/>
      <c r="P59" s="39"/>
    </row>
    <row r="60" customFormat="false" ht="15" hidden="false" customHeight="false" outlineLevel="0" collapsed="false">
      <c r="A60" s="39"/>
      <c r="B60" s="39"/>
      <c r="C60" s="39"/>
      <c r="D60" s="39"/>
      <c r="E60" s="39"/>
      <c r="F60" s="39"/>
      <c r="G60" s="39"/>
      <c r="H60" s="39"/>
      <c r="I60" s="39"/>
      <c r="J60" s="39"/>
      <c r="K60" s="39"/>
      <c r="L60" s="39"/>
      <c r="M60" s="43"/>
      <c r="N60" s="39"/>
      <c r="O60" s="39"/>
      <c r="P60" s="39"/>
    </row>
    <row r="61" customFormat="false" ht="15" hidden="false" customHeight="false" outlineLevel="0" collapsed="false">
      <c r="A61" s="39"/>
      <c r="B61" s="39"/>
      <c r="C61" s="39"/>
      <c r="D61" s="39"/>
      <c r="E61" s="39"/>
      <c r="F61" s="39"/>
      <c r="G61" s="39"/>
      <c r="H61" s="39"/>
      <c r="I61" s="39"/>
      <c r="J61" s="39"/>
      <c r="K61" s="39"/>
      <c r="L61" s="39"/>
      <c r="M61" s="43"/>
      <c r="N61" s="39"/>
      <c r="O61" s="39"/>
      <c r="P61" s="39"/>
    </row>
    <row r="62" customFormat="false" ht="15" hidden="false" customHeight="false" outlineLevel="0" collapsed="false">
      <c r="A62" s="39"/>
      <c r="B62" s="39"/>
      <c r="C62" s="39"/>
      <c r="D62" s="39"/>
      <c r="E62" s="39"/>
      <c r="F62" s="39"/>
      <c r="G62" s="39"/>
      <c r="H62" s="39"/>
      <c r="I62" s="39"/>
      <c r="J62" s="39"/>
      <c r="K62" s="39"/>
      <c r="L62" s="39"/>
      <c r="M62" s="43"/>
      <c r="N62" s="39"/>
      <c r="O62" s="39"/>
      <c r="P62" s="39"/>
    </row>
    <row r="63" customFormat="false" ht="15" hidden="false" customHeight="false" outlineLevel="0" collapsed="false">
      <c r="A63" s="39"/>
      <c r="B63" s="39"/>
      <c r="C63" s="39"/>
      <c r="D63" s="39"/>
      <c r="E63" s="39"/>
      <c r="F63" s="39"/>
      <c r="G63" s="39"/>
      <c r="H63" s="39"/>
      <c r="I63" s="39"/>
      <c r="J63" s="39"/>
      <c r="K63" s="39"/>
      <c r="L63" s="39"/>
      <c r="M63" s="43"/>
      <c r="N63" s="39"/>
      <c r="O63" s="39"/>
      <c r="P63" s="39"/>
    </row>
    <row r="64" customFormat="false" ht="15" hidden="false" customHeight="false" outlineLevel="0" collapsed="false">
      <c r="A64" s="39"/>
      <c r="B64" s="39"/>
      <c r="C64" s="39"/>
      <c r="D64" s="39"/>
      <c r="E64" s="39"/>
      <c r="F64" s="39"/>
      <c r="G64" s="39"/>
      <c r="H64" s="39"/>
      <c r="I64" s="39"/>
      <c r="J64" s="39"/>
      <c r="K64" s="39"/>
      <c r="L64" s="39"/>
      <c r="M64" s="43"/>
      <c r="N64" s="39"/>
      <c r="O64" s="39"/>
      <c r="P64" s="39"/>
    </row>
    <row r="65" customFormat="false" ht="15" hidden="false" customHeight="false" outlineLevel="0" collapsed="false">
      <c r="A65" s="39"/>
      <c r="B65" s="39"/>
      <c r="C65" s="39"/>
      <c r="D65" s="39"/>
      <c r="E65" s="39"/>
      <c r="F65" s="39"/>
      <c r="G65" s="39"/>
      <c r="H65" s="39"/>
      <c r="I65" s="39"/>
      <c r="J65" s="39"/>
      <c r="K65" s="39"/>
      <c r="L65" s="39"/>
      <c r="M65" s="43"/>
      <c r="N65" s="39"/>
      <c r="O65" s="39"/>
      <c r="P65" s="39"/>
    </row>
    <row r="66" customFormat="false" ht="15" hidden="false" customHeight="false" outlineLevel="0" collapsed="false">
      <c r="A66" s="39"/>
      <c r="B66" s="39"/>
      <c r="C66" s="39"/>
      <c r="D66" s="39"/>
      <c r="E66" s="39"/>
      <c r="F66" s="39"/>
      <c r="G66" s="39"/>
      <c r="H66" s="39"/>
      <c r="I66" s="39"/>
      <c r="J66" s="39"/>
      <c r="K66" s="39"/>
      <c r="L66" s="39"/>
      <c r="M66" s="43"/>
      <c r="N66" s="39"/>
      <c r="O66" s="39"/>
      <c r="P66" s="39"/>
    </row>
    <row r="67" customFormat="false" ht="15" hidden="false" customHeight="false" outlineLevel="0" collapsed="false">
      <c r="A67" s="39"/>
      <c r="B67" s="39"/>
      <c r="C67" s="39"/>
      <c r="D67" s="39"/>
      <c r="E67" s="39"/>
      <c r="F67" s="39"/>
      <c r="G67" s="39"/>
      <c r="H67" s="39"/>
      <c r="I67" s="39"/>
      <c r="J67" s="39"/>
      <c r="K67" s="39"/>
      <c r="L67" s="39"/>
      <c r="M67" s="43"/>
      <c r="N67" s="39"/>
      <c r="O67" s="39"/>
      <c r="P67" s="39"/>
    </row>
    <row r="68" customFormat="false" ht="15" hidden="false" customHeight="false" outlineLevel="0" collapsed="false">
      <c r="A68" s="39"/>
      <c r="B68" s="39"/>
      <c r="C68" s="39"/>
      <c r="D68" s="39"/>
      <c r="E68" s="39"/>
      <c r="F68" s="39"/>
      <c r="G68" s="39"/>
      <c r="H68" s="39"/>
      <c r="I68" s="39"/>
      <c r="J68" s="39"/>
      <c r="K68" s="39"/>
      <c r="L68" s="39"/>
      <c r="M68" s="43"/>
      <c r="N68" s="39"/>
      <c r="O68" s="39"/>
      <c r="P68" s="39"/>
    </row>
    <row r="69" customFormat="false" ht="15" hidden="false" customHeight="false" outlineLevel="0" collapsed="false">
      <c r="A69" s="39"/>
      <c r="B69" s="39"/>
      <c r="C69" s="39"/>
      <c r="D69" s="39"/>
      <c r="E69" s="39"/>
      <c r="F69" s="39"/>
      <c r="G69" s="39"/>
      <c r="H69" s="39"/>
      <c r="I69" s="39"/>
      <c r="J69" s="39"/>
      <c r="K69" s="39"/>
      <c r="L69" s="39"/>
      <c r="M69" s="43"/>
      <c r="N69" s="39"/>
      <c r="O69" s="39"/>
      <c r="P69" s="39"/>
    </row>
    <row r="70" customFormat="false" ht="15" hidden="false" customHeight="false" outlineLevel="0" collapsed="false">
      <c r="A70" s="39"/>
      <c r="B70" s="39"/>
      <c r="C70" s="39"/>
      <c r="D70" s="39"/>
      <c r="E70" s="39"/>
      <c r="F70" s="39"/>
      <c r="G70" s="39"/>
      <c r="H70" s="39"/>
      <c r="I70" s="39"/>
      <c r="J70" s="39"/>
      <c r="K70" s="39"/>
      <c r="L70" s="39"/>
      <c r="M70" s="43"/>
      <c r="N70" s="39"/>
      <c r="O70" s="39"/>
      <c r="P70" s="39"/>
    </row>
    <row r="71" customFormat="false" ht="15" hidden="false" customHeight="false" outlineLevel="0" collapsed="false">
      <c r="A71" s="39"/>
      <c r="B71" s="39"/>
      <c r="C71" s="39"/>
      <c r="D71" s="39"/>
      <c r="E71" s="39"/>
      <c r="F71" s="39"/>
      <c r="G71" s="39"/>
      <c r="H71" s="39"/>
      <c r="I71" s="39"/>
      <c r="J71" s="39"/>
      <c r="K71" s="39"/>
      <c r="L71" s="39"/>
      <c r="M71" s="43"/>
      <c r="N71" s="39"/>
      <c r="O71" s="39"/>
      <c r="P71" s="39"/>
    </row>
    <row r="72" customFormat="false" ht="15" hidden="false" customHeight="false" outlineLevel="0" collapsed="false">
      <c r="A72" s="39"/>
      <c r="B72" s="39"/>
      <c r="C72" s="39"/>
      <c r="D72" s="39"/>
      <c r="E72" s="39"/>
      <c r="F72" s="39"/>
      <c r="G72" s="39"/>
      <c r="H72" s="39"/>
      <c r="I72" s="39"/>
      <c r="J72" s="39"/>
      <c r="K72" s="39"/>
      <c r="L72" s="39"/>
      <c r="M72" s="43"/>
      <c r="N72" s="39"/>
      <c r="O72" s="39"/>
      <c r="P72" s="39"/>
    </row>
    <row r="73" customFormat="false" ht="15" hidden="false" customHeight="false" outlineLevel="0" collapsed="false">
      <c r="A73" s="39"/>
      <c r="B73" s="39"/>
      <c r="C73" s="39"/>
      <c r="D73" s="39"/>
      <c r="E73" s="39"/>
      <c r="F73" s="39"/>
      <c r="G73" s="39"/>
      <c r="H73" s="39"/>
      <c r="I73" s="39"/>
      <c r="J73" s="39"/>
      <c r="K73" s="39"/>
      <c r="L73" s="39"/>
      <c r="M73" s="43"/>
      <c r="N73" s="39"/>
      <c r="O73" s="39"/>
      <c r="P73" s="39"/>
    </row>
    <row r="74" customFormat="false" ht="15" hidden="false" customHeight="false" outlineLevel="0" collapsed="false">
      <c r="A74" s="39"/>
      <c r="B74" s="39"/>
      <c r="C74" s="39"/>
      <c r="D74" s="39"/>
      <c r="E74" s="39"/>
      <c r="F74" s="39"/>
      <c r="G74" s="39"/>
      <c r="H74" s="39"/>
      <c r="I74" s="39"/>
      <c r="J74" s="39"/>
      <c r="K74" s="39"/>
      <c r="L74" s="39"/>
      <c r="M74" s="43"/>
      <c r="N74" s="39"/>
      <c r="O74" s="39"/>
      <c r="P74" s="39"/>
    </row>
    <row r="75" customFormat="false" ht="15" hidden="false" customHeight="false" outlineLevel="0" collapsed="false">
      <c r="A75" s="39"/>
      <c r="B75" s="39"/>
      <c r="C75" s="39"/>
      <c r="D75" s="39"/>
      <c r="E75" s="39"/>
      <c r="F75" s="39"/>
      <c r="G75" s="39"/>
      <c r="H75" s="39"/>
      <c r="I75" s="39"/>
      <c r="J75" s="39"/>
      <c r="K75" s="39"/>
      <c r="L75" s="39"/>
      <c r="M75" s="43"/>
      <c r="N75" s="39"/>
      <c r="O75" s="39"/>
      <c r="P75" s="39"/>
    </row>
    <row r="76" customFormat="false" ht="15" hidden="false" customHeight="false" outlineLevel="0" collapsed="false">
      <c r="A76" s="39"/>
      <c r="B76" s="39"/>
      <c r="C76" s="39"/>
      <c r="D76" s="39"/>
      <c r="E76" s="39"/>
      <c r="F76" s="39"/>
      <c r="G76" s="39"/>
      <c r="H76" s="39"/>
      <c r="I76" s="39"/>
      <c r="J76" s="39"/>
      <c r="K76" s="39"/>
      <c r="L76" s="39"/>
      <c r="M76" s="43"/>
      <c r="N76" s="39"/>
      <c r="O76" s="39"/>
      <c r="P76" s="39"/>
    </row>
    <row r="77" customFormat="false" ht="15" hidden="false" customHeight="false" outlineLevel="0" collapsed="false">
      <c r="A77" s="39"/>
      <c r="B77" s="39"/>
      <c r="C77" s="39"/>
      <c r="D77" s="39"/>
      <c r="E77" s="39"/>
      <c r="F77" s="39"/>
      <c r="G77" s="39"/>
      <c r="H77" s="39"/>
      <c r="I77" s="39"/>
      <c r="J77" s="39"/>
      <c r="K77" s="39"/>
      <c r="L77" s="39"/>
      <c r="M77" s="43"/>
      <c r="N77" s="39"/>
      <c r="O77" s="39"/>
      <c r="P77" s="39"/>
    </row>
    <row r="78" customFormat="false" ht="15" hidden="false" customHeight="false" outlineLevel="0" collapsed="false">
      <c r="A78" s="39"/>
      <c r="B78" s="39"/>
      <c r="C78" s="39"/>
      <c r="D78" s="39"/>
      <c r="E78" s="39"/>
      <c r="F78" s="39"/>
      <c r="G78" s="39"/>
      <c r="H78" s="39"/>
      <c r="I78" s="39"/>
      <c r="J78" s="39"/>
      <c r="K78" s="39"/>
      <c r="L78" s="39"/>
      <c r="M78" s="43"/>
      <c r="N78" s="39"/>
      <c r="O78" s="39"/>
      <c r="P78" s="39"/>
    </row>
    <row r="79" customFormat="false" ht="15" hidden="false" customHeight="false" outlineLevel="0" collapsed="false">
      <c r="A79" s="39"/>
      <c r="B79" s="39"/>
      <c r="C79" s="39"/>
      <c r="D79" s="39"/>
      <c r="E79" s="39"/>
      <c r="F79" s="39"/>
      <c r="G79" s="39"/>
      <c r="H79" s="39"/>
      <c r="I79" s="39"/>
      <c r="J79" s="39"/>
      <c r="K79" s="39"/>
      <c r="L79" s="39"/>
      <c r="M79" s="43"/>
      <c r="N79" s="39"/>
      <c r="O79" s="39"/>
      <c r="P79" s="39"/>
    </row>
    <row r="80" customFormat="false" ht="15" hidden="false" customHeight="false" outlineLevel="0" collapsed="false">
      <c r="A80" s="39"/>
      <c r="B80" s="39"/>
      <c r="C80" s="39"/>
      <c r="D80" s="39"/>
      <c r="E80" s="39"/>
      <c r="F80" s="39"/>
      <c r="G80" s="39"/>
      <c r="H80" s="39"/>
      <c r="I80" s="39"/>
      <c r="J80" s="39"/>
      <c r="K80" s="39"/>
      <c r="L80" s="39"/>
      <c r="M80" s="43"/>
      <c r="N80" s="39"/>
      <c r="O80" s="39"/>
      <c r="P80" s="39"/>
    </row>
    <row r="81" customFormat="false" ht="15" hidden="false" customHeight="false" outlineLevel="0" collapsed="false">
      <c r="A81" s="39"/>
      <c r="B81" s="39"/>
      <c r="C81" s="39"/>
      <c r="D81" s="39"/>
      <c r="E81" s="39"/>
      <c r="F81" s="39"/>
      <c r="G81" s="39"/>
      <c r="H81" s="39"/>
      <c r="I81" s="39"/>
      <c r="J81" s="39"/>
      <c r="K81" s="39"/>
      <c r="L81" s="39"/>
      <c r="M81" s="43"/>
      <c r="N81" s="39"/>
      <c r="O81" s="39"/>
      <c r="P81" s="39"/>
    </row>
    <row r="82" customFormat="false" ht="15" hidden="false" customHeight="false" outlineLevel="0" collapsed="false">
      <c r="A82" s="39"/>
      <c r="B82" s="39"/>
      <c r="C82" s="39"/>
      <c r="D82" s="39"/>
      <c r="E82" s="39"/>
      <c r="F82" s="39"/>
      <c r="G82" s="39"/>
      <c r="H82" s="39"/>
      <c r="I82" s="39"/>
      <c r="J82" s="39"/>
      <c r="K82" s="39"/>
      <c r="L82" s="39"/>
      <c r="M82" s="43"/>
      <c r="N82" s="39"/>
      <c r="O82" s="39"/>
      <c r="P82" s="39"/>
    </row>
    <row r="83" customFormat="false" ht="15" hidden="false" customHeight="false" outlineLevel="0" collapsed="false">
      <c r="A83" s="39"/>
      <c r="B83" s="39"/>
      <c r="C83" s="39"/>
      <c r="D83" s="39"/>
      <c r="E83" s="39"/>
      <c r="F83" s="39"/>
      <c r="G83" s="39"/>
      <c r="H83" s="39"/>
      <c r="I83" s="39"/>
      <c r="J83" s="39"/>
      <c r="K83" s="39"/>
      <c r="L83" s="39"/>
      <c r="M83" s="43"/>
      <c r="N83" s="39"/>
      <c r="O83" s="39"/>
      <c r="P83" s="39"/>
    </row>
    <row r="84" customFormat="false" ht="15" hidden="false" customHeight="false" outlineLevel="0" collapsed="false">
      <c r="A84" s="39"/>
      <c r="B84" s="39"/>
      <c r="C84" s="39"/>
      <c r="D84" s="39"/>
      <c r="E84" s="39"/>
      <c r="F84" s="39"/>
      <c r="G84" s="39"/>
      <c r="H84" s="39"/>
      <c r="I84" s="39"/>
      <c r="J84" s="39"/>
      <c r="K84" s="39"/>
      <c r="L84" s="39"/>
      <c r="M84" s="43"/>
      <c r="N84" s="39"/>
      <c r="O84" s="39"/>
      <c r="P84" s="39"/>
    </row>
    <row r="85" customFormat="false" ht="15" hidden="false" customHeight="false" outlineLevel="0" collapsed="false">
      <c r="A85" s="39"/>
      <c r="B85" s="39"/>
      <c r="C85" s="39"/>
      <c r="D85" s="39"/>
      <c r="E85" s="39"/>
      <c r="F85" s="39"/>
      <c r="G85" s="39"/>
      <c r="H85" s="39"/>
      <c r="I85" s="39"/>
      <c r="J85" s="39"/>
      <c r="K85" s="39"/>
      <c r="L85" s="39"/>
      <c r="M85" s="43"/>
      <c r="N85" s="39"/>
      <c r="O85" s="39"/>
      <c r="P85" s="39"/>
    </row>
    <row r="86" customFormat="false" ht="15" hidden="false" customHeight="false" outlineLevel="0" collapsed="false">
      <c r="A86" s="39"/>
      <c r="B86" s="39"/>
      <c r="C86" s="39"/>
      <c r="D86" s="39"/>
      <c r="E86" s="39"/>
      <c r="F86" s="39"/>
      <c r="G86" s="39"/>
      <c r="H86" s="39"/>
      <c r="I86" s="39"/>
      <c r="J86" s="39"/>
      <c r="K86" s="39"/>
      <c r="L86" s="39"/>
      <c r="M86" s="43"/>
      <c r="N86" s="39"/>
      <c r="O86" s="39"/>
      <c r="P86" s="39"/>
    </row>
    <row r="87" customFormat="false" ht="15" hidden="false" customHeight="false" outlineLevel="0" collapsed="false">
      <c r="A87" s="39"/>
      <c r="B87" s="39"/>
      <c r="C87" s="39"/>
      <c r="D87" s="39"/>
      <c r="E87" s="39"/>
      <c r="F87" s="39"/>
      <c r="G87" s="39"/>
      <c r="H87" s="39"/>
      <c r="I87" s="39"/>
      <c r="J87" s="39"/>
      <c r="K87" s="39"/>
      <c r="L87" s="39"/>
      <c r="M87" s="43"/>
      <c r="N87" s="39"/>
      <c r="O87" s="39"/>
      <c r="P87" s="39"/>
    </row>
    <row r="88" customFormat="false" ht="15" hidden="false" customHeight="false" outlineLevel="0" collapsed="false">
      <c r="A88" s="39"/>
      <c r="B88" s="39"/>
      <c r="C88" s="39"/>
      <c r="D88" s="39"/>
      <c r="E88" s="39"/>
      <c r="F88" s="39"/>
      <c r="G88" s="39"/>
      <c r="H88" s="39"/>
      <c r="I88" s="39"/>
      <c r="J88" s="39"/>
      <c r="K88" s="39"/>
      <c r="L88" s="39"/>
      <c r="M88" s="43"/>
      <c r="N88" s="39"/>
      <c r="O88" s="39"/>
      <c r="P88" s="39"/>
    </row>
    <row r="89" customFormat="false" ht="15" hidden="false" customHeight="false" outlineLevel="0" collapsed="false">
      <c r="A89" s="39"/>
      <c r="B89" s="39"/>
      <c r="C89" s="39"/>
      <c r="D89" s="39"/>
      <c r="E89" s="39"/>
      <c r="F89" s="39"/>
      <c r="G89" s="39"/>
      <c r="H89" s="39"/>
      <c r="I89" s="39"/>
      <c r="J89" s="39"/>
      <c r="K89" s="39"/>
      <c r="L89" s="39"/>
      <c r="M89" s="43"/>
      <c r="N89" s="39"/>
      <c r="O89" s="39"/>
      <c r="P89" s="39"/>
    </row>
    <row r="90" customFormat="false" ht="15" hidden="false" customHeight="false" outlineLevel="0" collapsed="false">
      <c r="A90" s="39"/>
      <c r="B90" s="39"/>
      <c r="C90" s="39"/>
      <c r="D90" s="39"/>
      <c r="E90" s="39"/>
      <c r="F90" s="39"/>
      <c r="G90" s="39"/>
      <c r="H90" s="39"/>
      <c r="I90" s="39"/>
      <c r="J90" s="39"/>
      <c r="K90" s="39"/>
      <c r="L90" s="39"/>
      <c r="M90" s="43"/>
      <c r="N90" s="39"/>
      <c r="O90" s="39"/>
      <c r="P90" s="39"/>
    </row>
    <row r="91" customFormat="false" ht="15" hidden="false" customHeight="false" outlineLevel="0" collapsed="false">
      <c r="A91" s="39"/>
      <c r="B91" s="39"/>
      <c r="C91" s="39"/>
      <c r="D91" s="39"/>
      <c r="E91" s="39"/>
      <c r="F91" s="39"/>
      <c r="G91" s="39"/>
      <c r="H91" s="39"/>
      <c r="I91" s="39"/>
      <c r="J91" s="39"/>
      <c r="K91" s="39"/>
      <c r="L91" s="39"/>
      <c r="M91" s="43"/>
      <c r="N91" s="39"/>
      <c r="O91" s="39"/>
      <c r="P91" s="39"/>
    </row>
    <row r="92" customFormat="false" ht="15" hidden="false" customHeight="false" outlineLevel="0" collapsed="false">
      <c r="A92" s="39"/>
      <c r="B92" s="39"/>
      <c r="C92" s="39"/>
      <c r="D92" s="39"/>
      <c r="E92" s="39"/>
      <c r="F92" s="39"/>
      <c r="G92" s="39"/>
      <c r="H92" s="39"/>
      <c r="I92" s="39"/>
      <c r="J92" s="39"/>
      <c r="K92" s="39"/>
      <c r="L92" s="39"/>
      <c r="M92" s="43"/>
      <c r="N92" s="39"/>
      <c r="O92" s="39"/>
      <c r="P92" s="39"/>
    </row>
    <row r="93" customFormat="false" ht="15" hidden="false" customHeight="false" outlineLevel="0" collapsed="false">
      <c r="A93" s="39"/>
      <c r="B93" s="39"/>
      <c r="C93" s="39"/>
      <c r="D93" s="39"/>
      <c r="E93" s="39"/>
      <c r="F93" s="39"/>
      <c r="G93" s="39"/>
      <c r="H93" s="39"/>
      <c r="I93" s="39"/>
      <c r="J93" s="39"/>
      <c r="K93" s="39"/>
      <c r="L93" s="39"/>
      <c r="M93" s="43"/>
      <c r="N93" s="39"/>
      <c r="O93" s="39"/>
      <c r="P93" s="39"/>
    </row>
    <row r="94" customFormat="false" ht="15" hidden="false" customHeight="false" outlineLevel="0" collapsed="false">
      <c r="A94" s="39"/>
      <c r="B94" s="39"/>
      <c r="C94" s="39"/>
      <c r="D94" s="39"/>
      <c r="E94" s="39"/>
      <c r="F94" s="39"/>
      <c r="G94" s="39"/>
      <c r="H94" s="39"/>
      <c r="I94" s="39"/>
      <c r="J94" s="39"/>
      <c r="K94" s="39"/>
      <c r="L94" s="39"/>
      <c r="M94" s="43"/>
      <c r="N94" s="39"/>
      <c r="O94" s="39"/>
      <c r="P94" s="39"/>
    </row>
    <row r="95" customFormat="false" ht="15" hidden="false" customHeight="false" outlineLevel="0" collapsed="false">
      <c r="A95" s="39"/>
      <c r="B95" s="39"/>
      <c r="C95" s="39"/>
      <c r="D95" s="39"/>
      <c r="E95" s="39"/>
      <c r="F95" s="39"/>
      <c r="G95" s="39"/>
      <c r="H95" s="39"/>
      <c r="I95" s="39"/>
      <c r="J95" s="39"/>
      <c r="K95" s="39"/>
      <c r="L95" s="39"/>
      <c r="M95" s="43"/>
      <c r="N95" s="39"/>
      <c r="O95" s="39"/>
      <c r="P95" s="39"/>
    </row>
    <row r="96" customFormat="false" ht="15" hidden="false" customHeight="false" outlineLevel="0" collapsed="false">
      <c r="A96" s="39"/>
      <c r="B96" s="39"/>
      <c r="C96" s="39"/>
      <c r="D96" s="39"/>
      <c r="E96" s="39"/>
      <c r="F96" s="39"/>
      <c r="G96" s="39"/>
      <c r="H96" s="39"/>
      <c r="I96" s="39"/>
      <c r="J96" s="39"/>
      <c r="K96" s="39"/>
      <c r="L96" s="39"/>
      <c r="M96" s="43"/>
      <c r="N96" s="39"/>
      <c r="O96" s="39"/>
      <c r="P96" s="39"/>
    </row>
    <row r="97" customFormat="false" ht="15" hidden="false" customHeight="false" outlineLevel="0" collapsed="false">
      <c r="A97" s="39"/>
      <c r="B97" s="39"/>
      <c r="C97" s="39"/>
      <c r="D97" s="39"/>
      <c r="E97" s="39"/>
      <c r="F97" s="39"/>
      <c r="G97" s="39"/>
      <c r="H97" s="39"/>
      <c r="I97" s="39"/>
      <c r="J97" s="39"/>
      <c r="K97" s="39"/>
      <c r="L97" s="39"/>
      <c r="M97" s="43"/>
      <c r="N97" s="39"/>
      <c r="O97" s="39"/>
      <c r="P97" s="39"/>
    </row>
    <row r="98" customFormat="false" ht="15" hidden="false" customHeight="false" outlineLevel="0" collapsed="false">
      <c r="A98" s="39"/>
      <c r="B98" s="39"/>
      <c r="C98" s="39"/>
      <c r="D98" s="39"/>
      <c r="E98" s="39"/>
      <c r="F98" s="39"/>
      <c r="G98" s="39"/>
      <c r="H98" s="39"/>
      <c r="I98" s="39"/>
      <c r="J98" s="39"/>
      <c r="K98" s="39"/>
      <c r="L98" s="39"/>
      <c r="M98" s="43"/>
      <c r="N98" s="39"/>
      <c r="O98" s="39"/>
      <c r="P98" s="39"/>
    </row>
    <row r="99" customFormat="false" ht="15" hidden="false" customHeight="false" outlineLevel="0" collapsed="false">
      <c r="A99" s="39"/>
      <c r="B99" s="39"/>
      <c r="C99" s="39"/>
      <c r="D99" s="39"/>
      <c r="E99" s="39"/>
      <c r="F99" s="39"/>
      <c r="G99" s="39"/>
      <c r="H99" s="39"/>
      <c r="I99" s="39"/>
      <c r="J99" s="39"/>
      <c r="K99" s="39"/>
      <c r="L99" s="39"/>
      <c r="M99" s="43"/>
      <c r="N99" s="39"/>
      <c r="O99" s="39"/>
      <c r="P99" s="39"/>
    </row>
    <row r="100" customFormat="false" ht="15" hidden="false" customHeight="false" outlineLevel="0" collapsed="false">
      <c r="A100" s="39"/>
      <c r="B100" s="39"/>
      <c r="C100" s="39"/>
      <c r="D100" s="39"/>
      <c r="E100" s="39"/>
      <c r="F100" s="39"/>
      <c r="G100" s="39"/>
      <c r="H100" s="39"/>
      <c r="I100" s="39"/>
      <c r="J100" s="39"/>
      <c r="K100" s="39"/>
      <c r="L100" s="39"/>
      <c r="M100" s="43"/>
      <c r="N100" s="39"/>
      <c r="O100" s="39"/>
      <c r="P100" s="39"/>
    </row>
    <row r="101" customFormat="false" ht="15" hidden="false" customHeight="false" outlineLevel="0" collapsed="false">
      <c r="A101" s="39"/>
      <c r="B101" s="39"/>
      <c r="C101" s="39"/>
      <c r="D101" s="39"/>
      <c r="E101" s="39"/>
      <c r="F101" s="39"/>
      <c r="G101" s="39"/>
      <c r="H101" s="39"/>
      <c r="I101" s="39"/>
      <c r="J101" s="39"/>
      <c r="K101" s="39"/>
      <c r="L101" s="39"/>
      <c r="M101" s="43"/>
      <c r="N101" s="39"/>
      <c r="O101" s="39"/>
      <c r="P101" s="39"/>
    </row>
    <row r="102" customFormat="false" ht="15" hidden="false" customHeight="false" outlineLevel="0" collapsed="false">
      <c r="A102" s="39"/>
      <c r="B102" s="39"/>
      <c r="C102" s="39"/>
      <c r="D102" s="39"/>
      <c r="E102" s="39"/>
      <c r="F102" s="39"/>
      <c r="G102" s="39"/>
      <c r="H102" s="39"/>
      <c r="I102" s="39"/>
      <c r="J102" s="39"/>
      <c r="K102" s="39"/>
      <c r="L102" s="39"/>
      <c r="M102" s="43"/>
      <c r="N102" s="39"/>
      <c r="O102" s="39"/>
      <c r="P102" s="39"/>
    </row>
    <row r="103" customFormat="false" ht="15" hidden="false" customHeight="false" outlineLevel="0" collapsed="false">
      <c r="A103" s="39"/>
      <c r="B103" s="39"/>
      <c r="C103" s="39"/>
      <c r="D103" s="39"/>
      <c r="E103" s="39"/>
      <c r="F103" s="39"/>
      <c r="G103" s="39"/>
      <c r="H103" s="39"/>
      <c r="I103" s="39"/>
      <c r="J103" s="39"/>
      <c r="K103" s="39"/>
      <c r="L103" s="39"/>
      <c r="M103" s="43"/>
      <c r="N103" s="39"/>
      <c r="O103" s="39"/>
      <c r="P103" s="39"/>
    </row>
    <row r="104" customFormat="false" ht="15" hidden="false" customHeight="false" outlineLevel="0" collapsed="false">
      <c r="A104" s="39"/>
      <c r="B104" s="39"/>
      <c r="C104" s="39"/>
      <c r="D104" s="39"/>
      <c r="E104" s="39"/>
      <c r="F104" s="39"/>
      <c r="G104" s="39"/>
      <c r="H104" s="39"/>
      <c r="I104" s="39"/>
      <c r="J104" s="39"/>
      <c r="K104" s="39"/>
      <c r="L104" s="39"/>
      <c r="M104" s="43"/>
      <c r="N104" s="39"/>
      <c r="O104" s="39"/>
      <c r="P104" s="39"/>
    </row>
    <row r="105" customFormat="false" ht="15" hidden="false" customHeight="false" outlineLevel="0" collapsed="false">
      <c r="A105" s="39"/>
      <c r="B105" s="39"/>
      <c r="C105" s="39"/>
      <c r="D105" s="39"/>
      <c r="E105" s="39"/>
      <c r="F105" s="39"/>
      <c r="G105" s="39"/>
      <c r="H105" s="39"/>
      <c r="I105" s="39"/>
      <c r="J105" s="39"/>
      <c r="K105" s="39"/>
      <c r="L105" s="39"/>
      <c r="M105" s="43"/>
      <c r="N105" s="39"/>
      <c r="O105" s="39"/>
      <c r="P105" s="39"/>
    </row>
  </sheetData>
  <mergeCells count="2">
    <mergeCell ref="A1:P1"/>
    <mergeCell ref="A2:P2"/>
  </mergeCells>
  <conditionalFormatting sqref="M5:M105">
    <cfRule type="expression" priority="2" aboveAverage="0" equalAverage="0" bottom="0" percent="0" rank="0" text="" dxfId="0">
      <formula>AND(ISNUMBER(M5),M5&lt;TODAY())</formula>
    </cfRule>
    <cfRule type="expression" priority="3" aboveAverage="0" equalAverage="0" bottom="0" percent="0" rank="0" text="" dxfId="2">
      <formula>AND(ISNUMBER(M5),M5-TODAY()&lt;=ExpiryWarnDays)</formula>
    </cfRule>
  </conditionalFormatting>
  <dataValidations count="5">
    <dataValidation allowBlank="true" error="Enter a date, e.g. 2026-10-22." errorStyle="stop" errorTitle="Date required" operator="greaterThan" showDropDown="false" showErrorMessage="true" showInputMessage="false" sqref="M5:M105" type="date">
      <formula1>1</formula1>
      <formula2>0</formula2>
    </dataValidation>
    <dataValidation allowBlank="true" errorStyle="stop" operator="between" showDropDown="false" showErrorMessage="false" showInputMessage="false" sqref="B5:B105" type="list">
      <formula1>VendorCat</formula1>
      <formula2>0</formula2>
    </dataValidation>
    <dataValidation allowBlank="true" errorStyle="stop" operator="between" showDropDown="false" showErrorMessage="false" showInputMessage="false" sqref="E5:E105" type="list">
      <formula1>Impact</formula1>
      <formula2>0</formula2>
    </dataValidation>
    <dataValidation allowBlank="true" errorStyle="stop" operator="between" showDropDown="false" showErrorMessage="false" showInputMessage="false" sqref="I5:I105" type="list">
      <formula1>SupportHours</formula1>
      <formula2>0</formula2>
    </dataValidation>
    <dataValidation allowBlank="true" errorStyle="stop" operator="between" showDropDown="false" showErrorMessage="false" showInputMessage="false" sqref="N5:N105" type="list">
      <formula1>YesNo</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&amp;A&amp;R&amp;8 Powered by MSP Culture  |  v1.0  |  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8FF"/>
    <pageSetUpPr fitToPage="true"/>
  </sheetPr>
  <dimension ref="A1:J1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2"/>
    <col collapsed="false" customWidth="true" hidden="false" outlineLevel="0" max="4" min="4" style="0" width="12"/>
    <col collapsed="false" customWidth="true" hidden="false" outlineLevel="0" max="5" min="5" style="0" width="11"/>
    <col collapsed="false" customWidth="true" hidden="false" outlineLevel="0" max="6" min="6" style="0" width="16"/>
    <col collapsed="false" customWidth="true" hidden="false" outlineLevel="0" max="7" min="7" style="0" width="20"/>
    <col collapsed="false" customWidth="true" hidden="false" outlineLevel="0" max="8" min="8" style="0" width="14"/>
    <col collapsed="false" customWidth="true" hidden="false" outlineLevel="0" max="9" min="9" style="0" width="11"/>
    <col collapsed="false" customWidth="true" hidden="false" outlineLevel="0" max="10" min="10" style="0" width="22"/>
  </cols>
  <sheetData>
    <row r="1" customFormat="false" ht="33.75" hidden="false" customHeight="true" outlineLevel="0" collapsed="false">
      <c r="A1" s="26" t="str">
        <f aca="false">IF(PreparedFor="","Locations &amp; Recovery Resources","Locations &amp; Recovery Resources  |  "&amp;PreparedFor)</f>
        <v>Locations &amp; Recovery Resources</v>
      </c>
      <c r="B1" s="26"/>
      <c r="C1" s="26"/>
      <c r="D1" s="26"/>
      <c r="E1" s="26"/>
      <c r="F1" s="26"/>
      <c r="G1" s="26"/>
      <c r="H1" s="26"/>
      <c r="I1" s="26"/>
      <c r="J1" s="26"/>
    </row>
    <row r="2" customFormat="false" ht="48" hidden="false" customHeight="true" outlineLevel="0" collapsed="false">
      <c r="A2" s="27" t="s">
        <v>417</v>
      </c>
      <c r="B2" s="27"/>
      <c r="C2" s="27"/>
      <c r="D2" s="27"/>
      <c r="E2" s="27"/>
      <c r="F2" s="27"/>
      <c r="G2" s="27"/>
      <c r="H2" s="27"/>
      <c r="I2" s="27"/>
      <c r="J2" s="27"/>
    </row>
    <row r="3" customFormat="false" ht="42" hidden="false" customHeight="true" outlineLevel="0" collapsed="false">
      <c r="A3" s="33" t="s">
        <v>418</v>
      </c>
      <c r="B3" s="33" t="s">
        <v>419</v>
      </c>
      <c r="C3" s="33" t="s">
        <v>420</v>
      </c>
      <c r="D3" s="33" t="s">
        <v>421</v>
      </c>
      <c r="E3" s="33" t="s">
        <v>422</v>
      </c>
      <c r="F3" s="33" t="s">
        <v>423</v>
      </c>
      <c r="G3" s="33" t="s">
        <v>424</v>
      </c>
      <c r="H3" s="33" t="s">
        <v>425</v>
      </c>
      <c r="I3" s="33" t="s">
        <v>426</v>
      </c>
      <c r="J3" s="33" t="s">
        <v>177</v>
      </c>
    </row>
    <row r="4" customFormat="false" ht="66" hidden="false" customHeight="true" outlineLevel="0" collapsed="false">
      <c r="A4" s="35"/>
      <c r="B4" s="35"/>
      <c r="C4" s="35"/>
      <c r="D4" s="35"/>
      <c r="E4" s="35"/>
      <c r="F4" s="35"/>
      <c r="G4" s="35"/>
      <c r="H4" s="35"/>
      <c r="I4" s="35"/>
      <c r="J4" s="35"/>
    </row>
    <row r="5" customFormat="false" ht="22.35" hidden="false" customHeight="false" outlineLevel="0" collapsed="false">
      <c r="A5" s="36" t="s">
        <v>427</v>
      </c>
      <c r="B5" s="36" t="s">
        <v>428</v>
      </c>
      <c r="C5" s="36" t="s">
        <v>429</v>
      </c>
      <c r="D5" s="36" t="s">
        <v>430</v>
      </c>
      <c r="E5" s="37" t="n">
        <v>8</v>
      </c>
      <c r="F5" s="36" t="s">
        <v>431</v>
      </c>
      <c r="G5" s="36" t="s">
        <v>432</v>
      </c>
      <c r="H5" s="36" t="s">
        <v>192</v>
      </c>
      <c r="I5" s="36" t="s">
        <v>286</v>
      </c>
      <c r="J5" s="36"/>
    </row>
    <row r="6" customFormat="false" ht="15" hidden="false" customHeight="false" outlineLevel="0" collapsed="false">
      <c r="A6" s="39"/>
      <c r="B6" s="39"/>
      <c r="C6" s="39"/>
      <c r="D6" s="39"/>
      <c r="E6" s="40"/>
      <c r="F6" s="39"/>
      <c r="G6" s="39"/>
      <c r="H6" s="39"/>
      <c r="I6" s="39"/>
      <c r="J6" s="39"/>
    </row>
    <row r="7" customFormat="false" ht="15" hidden="false" customHeight="false" outlineLevel="0" collapsed="false">
      <c r="A7" s="39"/>
      <c r="B7" s="39"/>
      <c r="C7" s="39"/>
      <c r="D7" s="39"/>
      <c r="E7" s="40"/>
      <c r="F7" s="39"/>
      <c r="G7" s="39"/>
      <c r="H7" s="39"/>
      <c r="I7" s="39"/>
      <c r="J7" s="39"/>
    </row>
    <row r="8" customFormat="false" ht="15" hidden="false" customHeight="false" outlineLevel="0" collapsed="false">
      <c r="A8" s="39"/>
      <c r="B8" s="39"/>
      <c r="C8" s="39"/>
      <c r="D8" s="39"/>
      <c r="E8" s="40"/>
      <c r="F8" s="39"/>
      <c r="G8" s="39"/>
      <c r="H8" s="39"/>
      <c r="I8" s="39"/>
      <c r="J8" s="39"/>
    </row>
    <row r="9" customFormat="false" ht="15" hidden="false" customHeight="false" outlineLevel="0" collapsed="false">
      <c r="A9" s="39"/>
      <c r="B9" s="39"/>
      <c r="C9" s="39"/>
      <c r="D9" s="39"/>
      <c r="E9" s="40"/>
      <c r="F9" s="39"/>
      <c r="G9" s="39"/>
      <c r="H9" s="39"/>
      <c r="I9" s="39"/>
      <c r="J9" s="39"/>
    </row>
    <row r="10" customFormat="false" ht="15" hidden="false" customHeight="false" outlineLevel="0" collapsed="false">
      <c r="A10" s="39"/>
      <c r="B10" s="39"/>
      <c r="C10" s="39"/>
      <c r="D10" s="39"/>
      <c r="E10" s="40"/>
      <c r="F10" s="39"/>
      <c r="G10" s="39"/>
      <c r="H10" s="39"/>
      <c r="I10" s="39"/>
      <c r="J10" s="39"/>
    </row>
    <row r="11" customFormat="false" ht="15" hidden="false" customHeight="false" outlineLevel="0" collapsed="false">
      <c r="A11" s="39"/>
      <c r="B11" s="39"/>
      <c r="C11" s="39"/>
      <c r="D11" s="39"/>
      <c r="E11" s="40"/>
      <c r="F11" s="39"/>
      <c r="G11" s="39"/>
      <c r="H11" s="39"/>
      <c r="I11" s="39"/>
      <c r="J11" s="39"/>
    </row>
    <row r="12" customFormat="false" ht="15" hidden="false" customHeight="false" outlineLevel="0" collapsed="false">
      <c r="A12" s="39"/>
      <c r="B12" s="39"/>
      <c r="C12" s="39"/>
      <c r="D12" s="39"/>
      <c r="E12" s="40"/>
      <c r="F12" s="39"/>
      <c r="G12" s="39"/>
      <c r="H12" s="39"/>
      <c r="I12" s="39"/>
      <c r="J12" s="39"/>
    </row>
    <row r="13" customFormat="false" ht="15" hidden="false" customHeight="false" outlineLevel="0" collapsed="false">
      <c r="A13" s="39"/>
      <c r="B13" s="39"/>
      <c r="C13" s="39"/>
      <c r="D13" s="39"/>
      <c r="E13" s="40"/>
      <c r="F13" s="39"/>
      <c r="G13" s="39"/>
      <c r="H13" s="39"/>
      <c r="I13" s="39"/>
      <c r="J13" s="39"/>
    </row>
    <row r="14" customFormat="false" ht="15" hidden="false" customHeight="false" outlineLevel="0" collapsed="false">
      <c r="A14" s="39"/>
      <c r="B14" s="39"/>
      <c r="C14" s="39"/>
      <c r="D14" s="39"/>
      <c r="E14" s="40"/>
      <c r="F14" s="39"/>
      <c r="G14" s="39"/>
      <c r="H14" s="39"/>
      <c r="I14" s="39"/>
      <c r="J14" s="39"/>
    </row>
    <row r="15" customFormat="false" ht="15" hidden="false" customHeight="false" outlineLevel="0" collapsed="false">
      <c r="A15" s="39"/>
      <c r="B15" s="39"/>
      <c r="C15" s="39"/>
      <c r="D15" s="39"/>
      <c r="E15" s="40"/>
      <c r="F15" s="39"/>
      <c r="G15" s="39"/>
      <c r="H15" s="39"/>
      <c r="I15" s="39"/>
      <c r="J15" s="39"/>
    </row>
    <row r="16" customFormat="false" ht="15" hidden="false" customHeight="false" outlineLevel="0" collapsed="false">
      <c r="A16" s="39"/>
      <c r="B16" s="39"/>
      <c r="C16" s="39"/>
      <c r="D16" s="39"/>
      <c r="E16" s="40"/>
      <c r="F16" s="39"/>
      <c r="G16" s="39"/>
      <c r="H16" s="39"/>
      <c r="I16" s="39"/>
      <c r="J16" s="39"/>
    </row>
    <row r="17" customFormat="false" ht="15" hidden="false" customHeight="false" outlineLevel="0" collapsed="false">
      <c r="A17" s="39"/>
      <c r="B17" s="39"/>
      <c r="C17" s="39"/>
      <c r="D17" s="39"/>
      <c r="E17" s="40"/>
      <c r="F17" s="39"/>
      <c r="G17" s="39"/>
      <c r="H17" s="39"/>
      <c r="I17" s="39"/>
      <c r="J17" s="39"/>
    </row>
    <row r="18" customFormat="false" ht="15" hidden="false" customHeight="false" outlineLevel="0" collapsed="false">
      <c r="A18" s="39"/>
      <c r="B18" s="39"/>
      <c r="C18" s="39"/>
      <c r="D18" s="39"/>
      <c r="E18" s="40"/>
      <c r="F18" s="39"/>
      <c r="G18" s="39"/>
      <c r="H18" s="39"/>
      <c r="I18" s="39"/>
      <c r="J18" s="39"/>
    </row>
    <row r="19" customFormat="false" ht="15" hidden="false" customHeight="false" outlineLevel="0" collapsed="false">
      <c r="A19" s="39"/>
      <c r="B19" s="39"/>
      <c r="C19" s="39"/>
      <c r="D19" s="39"/>
      <c r="E19" s="40"/>
      <c r="F19" s="39"/>
      <c r="G19" s="39"/>
      <c r="H19" s="39"/>
      <c r="I19" s="39"/>
      <c r="J19" s="39"/>
    </row>
    <row r="20" customFormat="false" ht="15" hidden="false" customHeight="false" outlineLevel="0" collapsed="false">
      <c r="A20" s="39"/>
      <c r="B20" s="39"/>
      <c r="C20" s="39"/>
      <c r="D20" s="39"/>
      <c r="E20" s="40"/>
      <c r="F20" s="39"/>
      <c r="G20" s="39"/>
      <c r="H20" s="39"/>
      <c r="I20" s="39"/>
      <c r="J20" s="39"/>
    </row>
    <row r="21" customFormat="false" ht="15" hidden="false" customHeight="false" outlineLevel="0" collapsed="false">
      <c r="A21" s="39"/>
      <c r="B21" s="39"/>
      <c r="C21" s="39"/>
      <c r="D21" s="39"/>
      <c r="E21" s="40"/>
      <c r="F21" s="39"/>
      <c r="G21" s="39"/>
      <c r="H21" s="39"/>
      <c r="I21" s="39"/>
      <c r="J21" s="39"/>
    </row>
    <row r="22" customFormat="false" ht="15" hidden="false" customHeight="false" outlineLevel="0" collapsed="false">
      <c r="A22" s="39"/>
      <c r="B22" s="39"/>
      <c r="C22" s="39"/>
      <c r="D22" s="39"/>
      <c r="E22" s="40"/>
      <c r="F22" s="39"/>
      <c r="G22" s="39"/>
      <c r="H22" s="39"/>
      <c r="I22" s="39"/>
      <c r="J22" s="39"/>
    </row>
    <row r="23" customFormat="false" ht="15" hidden="false" customHeight="false" outlineLevel="0" collapsed="false">
      <c r="A23" s="39"/>
      <c r="B23" s="39"/>
      <c r="C23" s="39"/>
      <c r="D23" s="39"/>
      <c r="E23" s="40"/>
      <c r="F23" s="39"/>
      <c r="G23" s="39"/>
      <c r="H23" s="39"/>
      <c r="I23" s="39"/>
      <c r="J23" s="39"/>
    </row>
    <row r="24" customFormat="false" ht="15" hidden="false" customHeight="false" outlineLevel="0" collapsed="false">
      <c r="A24" s="39"/>
      <c r="B24" s="39"/>
      <c r="C24" s="39"/>
      <c r="D24" s="39"/>
      <c r="E24" s="40"/>
      <c r="F24" s="39"/>
      <c r="G24" s="39"/>
      <c r="H24" s="39"/>
      <c r="I24" s="39"/>
      <c r="J24" s="39"/>
    </row>
    <row r="25" customFormat="false" ht="15" hidden="false" customHeight="false" outlineLevel="0" collapsed="false">
      <c r="A25" s="39"/>
      <c r="B25" s="39"/>
      <c r="C25" s="39"/>
      <c r="D25" s="39"/>
      <c r="E25" s="40"/>
      <c r="F25" s="39"/>
      <c r="G25" s="39"/>
      <c r="H25" s="39"/>
      <c r="I25" s="39"/>
      <c r="J25" s="39"/>
    </row>
    <row r="26" customFormat="false" ht="15" hidden="false" customHeight="false" outlineLevel="0" collapsed="false">
      <c r="A26" s="39"/>
      <c r="B26" s="39"/>
      <c r="C26" s="39"/>
      <c r="D26" s="39"/>
      <c r="E26" s="40"/>
      <c r="F26" s="39"/>
      <c r="G26" s="39"/>
      <c r="H26" s="39"/>
      <c r="I26" s="39"/>
      <c r="J26" s="39"/>
    </row>
    <row r="27" customFormat="false" ht="15" hidden="false" customHeight="false" outlineLevel="0" collapsed="false">
      <c r="A27" s="39"/>
      <c r="B27" s="39"/>
      <c r="C27" s="39"/>
      <c r="D27" s="39"/>
      <c r="E27" s="40"/>
      <c r="F27" s="39"/>
      <c r="G27" s="39"/>
      <c r="H27" s="39"/>
      <c r="I27" s="39"/>
      <c r="J27" s="39"/>
    </row>
    <row r="28" customFormat="false" ht="15" hidden="false" customHeight="false" outlineLevel="0" collapsed="false">
      <c r="A28" s="39"/>
      <c r="B28" s="39"/>
      <c r="C28" s="39"/>
      <c r="D28" s="39"/>
      <c r="E28" s="40"/>
      <c r="F28" s="39"/>
      <c r="G28" s="39"/>
      <c r="H28" s="39"/>
      <c r="I28" s="39"/>
      <c r="J28" s="39"/>
    </row>
    <row r="29" customFormat="false" ht="15" hidden="false" customHeight="false" outlineLevel="0" collapsed="false">
      <c r="A29" s="39"/>
      <c r="B29" s="39"/>
      <c r="C29" s="39"/>
      <c r="D29" s="39"/>
      <c r="E29" s="40"/>
      <c r="F29" s="39"/>
      <c r="G29" s="39"/>
      <c r="H29" s="39"/>
      <c r="I29" s="39"/>
      <c r="J29" s="39"/>
    </row>
    <row r="30" customFormat="false" ht="15" hidden="false" customHeight="false" outlineLevel="0" collapsed="false">
      <c r="A30" s="39"/>
      <c r="B30" s="39"/>
      <c r="C30" s="39"/>
      <c r="D30" s="39"/>
      <c r="E30" s="40"/>
      <c r="F30" s="39"/>
      <c r="G30" s="39"/>
      <c r="H30" s="39"/>
      <c r="I30" s="39"/>
      <c r="J30" s="39"/>
    </row>
    <row r="31" customFormat="false" ht="15" hidden="false" customHeight="false" outlineLevel="0" collapsed="false">
      <c r="A31" s="39"/>
      <c r="B31" s="39"/>
      <c r="C31" s="39"/>
      <c r="D31" s="39"/>
      <c r="E31" s="40"/>
      <c r="F31" s="39"/>
      <c r="G31" s="39"/>
      <c r="H31" s="39"/>
      <c r="I31" s="39"/>
      <c r="J31" s="39"/>
    </row>
    <row r="32" customFormat="false" ht="15" hidden="false" customHeight="false" outlineLevel="0" collapsed="false">
      <c r="A32" s="39"/>
      <c r="B32" s="39"/>
      <c r="C32" s="39"/>
      <c r="D32" s="39"/>
      <c r="E32" s="40"/>
      <c r="F32" s="39"/>
      <c r="G32" s="39"/>
      <c r="H32" s="39"/>
      <c r="I32" s="39"/>
      <c r="J32" s="39"/>
    </row>
    <row r="33" customFormat="false" ht="15" hidden="false" customHeight="false" outlineLevel="0" collapsed="false">
      <c r="A33" s="39"/>
      <c r="B33" s="39"/>
      <c r="C33" s="39"/>
      <c r="D33" s="39"/>
      <c r="E33" s="40"/>
      <c r="F33" s="39"/>
      <c r="G33" s="39"/>
      <c r="H33" s="39"/>
      <c r="I33" s="39"/>
      <c r="J33" s="39"/>
    </row>
    <row r="34" customFormat="false" ht="15" hidden="false" customHeight="false" outlineLevel="0" collapsed="false">
      <c r="A34" s="39"/>
      <c r="B34" s="39"/>
      <c r="C34" s="39"/>
      <c r="D34" s="39"/>
      <c r="E34" s="40"/>
      <c r="F34" s="39"/>
      <c r="G34" s="39"/>
      <c r="H34" s="39"/>
      <c r="I34" s="39"/>
      <c r="J34" s="39"/>
    </row>
    <row r="35" customFormat="false" ht="15" hidden="false" customHeight="false" outlineLevel="0" collapsed="false">
      <c r="A35" s="39"/>
      <c r="B35" s="39"/>
      <c r="C35" s="39"/>
      <c r="D35" s="39"/>
      <c r="E35" s="40"/>
      <c r="F35" s="39"/>
      <c r="G35" s="39"/>
      <c r="H35" s="39"/>
      <c r="I35" s="39"/>
      <c r="J35" s="39"/>
    </row>
    <row r="36" customFormat="false" ht="15" hidden="false" customHeight="false" outlineLevel="0" collapsed="false">
      <c r="A36" s="39"/>
      <c r="B36" s="39"/>
      <c r="C36" s="39"/>
      <c r="D36" s="39"/>
      <c r="E36" s="40"/>
      <c r="F36" s="39"/>
      <c r="G36" s="39"/>
      <c r="H36" s="39"/>
      <c r="I36" s="39"/>
      <c r="J36" s="39"/>
    </row>
    <row r="37" customFormat="false" ht="15" hidden="false" customHeight="false" outlineLevel="0" collapsed="false">
      <c r="A37" s="39"/>
      <c r="B37" s="39"/>
      <c r="C37" s="39"/>
      <c r="D37" s="39"/>
      <c r="E37" s="40"/>
      <c r="F37" s="39"/>
      <c r="G37" s="39"/>
      <c r="H37" s="39"/>
      <c r="I37" s="39"/>
      <c r="J37" s="39"/>
    </row>
    <row r="38" customFormat="false" ht="15" hidden="false" customHeight="false" outlineLevel="0" collapsed="false">
      <c r="A38" s="39"/>
      <c r="B38" s="39"/>
      <c r="C38" s="39"/>
      <c r="D38" s="39"/>
      <c r="E38" s="40"/>
      <c r="F38" s="39"/>
      <c r="G38" s="39"/>
      <c r="H38" s="39"/>
      <c r="I38" s="39"/>
      <c r="J38" s="39"/>
    </row>
    <row r="39" customFormat="false" ht="15" hidden="false" customHeight="false" outlineLevel="0" collapsed="false">
      <c r="A39" s="39"/>
      <c r="B39" s="39"/>
      <c r="C39" s="39"/>
      <c r="D39" s="39"/>
      <c r="E39" s="40"/>
      <c r="F39" s="39"/>
      <c r="G39" s="39"/>
      <c r="H39" s="39"/>
      <c r="I39" s="39"/>
      <c r="J39" s="39"/>
    </row>
    <row r="40" customFormat="false" ht="15" hidden="false" customHeight="false" outlineLevel="0" collapsed="false">
      <c r="A40" s="39"/>
      <c r="B40" s="39"/>
      <c r="C40" s="39"/>
      <c r="D40" s="39"/>
      <c r="E40" s="40"/>
      <c r="F40" s="39"/>
      <c r="G40" s="39"/>
      <c r="H40" s="39"/>
      <c r="I40" s="39"/>
      <c r="J40" s="39"/>
    </row>
    <row r="41" customFormat="false" ht="15" hidden="false" customHeight="false" outlineLevel="0" collapsed="false">
      <c r="A41" s="39"/>
      <c r="B41" s="39"/>
      <c r="C41" s="39"/>
      <c r="D41" s="39"/>
      <c r="E41" s="40"/>
      <c r="F41" s="39"/>
      <c r="G41" s="39"/>
      <c r="H41" s="39"/>
      <c r="I41" s="39"/>
      <c r="J41" s="39"/>
    </row>
    <row r="42" customFormat="false" ht="15" hidden="false" customHeight="false" outlineLevel="0" collapsed="false">
      <c r="A42" s="39"/>
      <c r="B42" s="39"/>
      <c r="C42" s="39"/>
      <c r="D42" s="39"/>
      <c r="E42" s="40"/>
      <c r="F42" s="39"/>
      <c r="G42" s="39"/>
      <c r="H42" s="39"/>
      <c r="I42" s="39"/>
      <c r="J42" s="39"/>
    </row>
    <row r="43" customFormat="false" ht="15" hidden="false" customHeight="false" outlineLevel="0" collapsed="false">
      <c r="A43" s="39"/>
      <c r="B43" s="39"/>
      <c r="C43" s="39"/>
      <c r="D43" s="39"/>
      <c r="E43" s="40"/>
      <c r="F43" s="39"/>
      <c r="G43" s="39"/>
      <c r="H43" s="39"/>
      <c r="I43" s="39"/>
      <c r="J43" s="39"/>
    </row>
    <row r="44" customFormat="false" ht="15" hidden="false" customHeight="false" outlineLevel="0" collapsed="false">
      <c r="A44" s="39"/>
      <c r="B44" s="39"/>
      <c r="C44" s="39"/>
      <c r="D44" s="39"/>
      <c r="E44" s="40"/>
      <c r="F44" s="39"/>
      <c r="G44" s="39"/>
      <c r="H44" s="39"/>
      <c r="I44" s="39"/>
      <c r="J44" s="39"/>
    </row>
    <row r="45" customFormat="false" ht="15" hidden="false" customHeight="false" outlineLevel="0" collapsed="false">
      <c r="A45" s="39"/>
      <c r="B45" s="39"/>
      <c r="C45" s="39"/>
      <c r="D45" s="39"/>
      <c r="E45" s="40"/>
      <c r="F45" s="39"/>
      <c r="G45" s="39"/>
      <c r="H45" s="39"/>
      <c r="I45" s="39"/>
      <c r="J45" s="39"/>
    </row>
    <row r="46" customFormat="false" ht="15" hidden="false" customHeight="false" outlineLevel="0" collapsed="false">
      <c r="A46" s="39"/>
      <c r="B46" s="39"/>
      <c r="C46" s="39"/>
      <c r="D46" s="39"/>
      <c r="E46" s="40"/>
      <c r="F46" s="39"/>
      <c r="G46" s="39"/>
      <c r="H46" s="39"/>
      <c r="I46" s="39"/>
      <c r="J46" s="39"/>
    </row>
    <row r="47" customFormat="false" ht="15" hidden="false" customHeight="false" outlineLevel="0" collapsed="false">
      <c r="A47" s="39"/>
      <c r="B47" s="39"/>
      <c r="C47" s="39"/>
      <c r="D47" s="39"/>
      <c r="E47" s="40"/>
      <c r="F47" s="39"/>
      <c r="G47" s="39"/>
      <c r="H47" s="39"/>
      <c r="I47" s="39"/>
      <c r="J47" s="39"/>
    </row>
    <row r="48" customFormat="false" ht="15" hidden="false" customHeight="false" outlineLevel="0" collapsed="false">
      <c r="A48" s="39"/>
      <c r="B48" s="39"/>
      <c r="C48" s="39"/>
      <c r="D48" s="39"/>
      <c r="E48" s="40"/>
      <c r="F48" s="39"/>
      <c r="G48" s="39"/>
      <c r="H48" s="39"/>
      <c r="I48" s="39"/>
      <c r="J48" s="39"/>
    </row>
    <row r="49" customFormat="false" ht="15" hidden="false" customHeight="false" outlineLevel="0" collapsed="false">
      <c r="A49" s="39"/>
      <c r="B49" s="39"/>
      <c r="C49" s="39"/>
      <c r="D49" s="39"/>
      <c r="E49" s="40"/>
      <c r="F49" s="39"/>
      <c r="G49" s="39"/>
      <c r="H49" s="39"/>
      <c r="I49" s="39"/>
      <c r="J49" s="39"/>
    </row>
    <row r="50" customFormat="false" ht="15" hidden="false" customHeight="false" outlineLevel="0" collapsed="false">
      <c r="A50" s="39"/>
      <c r="B50" s="39"/>
      <c r="C50" s="39"/>
      <c r="D50" s="39"/>
      <c r="E50" s="40"/>
      <c r="F50" s="39"/>
      <c r="G50" s="39"/>
      <c r="H50" s="39"/>
      <c r="I50" s="39"/>
      <c r="J50" s="39"/>
    </row>
    <row r="51" customFormat="false" ht="15" hidden="false" customHeight="false" outlineLevel="0" collapsed="false">
      <c r="A51" s="39"/>
      <c r="B51" s="39"/>
      <c r="C51" s="39"/>
      <c r="D51" s="39"/>
      <c r="E51" s="40"/>
      <c r="F51" s="39"/>
      <c r="G51" s="39"/>
      <c r="H51" s="39"/>
      <c r="I51" s="39"/>
      <c r="J51" s="39"/>
    </row>
    <row r="52" customFormat="false" ht="15" hidden="false" customHeight="false" outlineLevel="0" collapsed="false">
      <c r="A52" s="39"/>
      <c r="B52" s="39"/>
      <c r="C52" s="39"/>
      <c r="D52" s="39"/>
      <c r="E52" s="40"/>
      <c r="F52" s="39"/>
      <c r="G52" s="39"/>
      <c r="H52" s="39"/>
      <c r="I52" s="39"/>
      <c r="J52" s="39"/>
    </row>
    <row r="53" customFormat="false" ht="15" hidden="false" customHeight="false" outlineLevel="0" collapsed="false">
      <c r="A53" s="39"/>
      <c r="B53" s="39"/>
      <c r="C53" s="39"/>
      <c r="D53" s="39"/>
      <c r="E53" s="40"/>
      <c r="F53" s="39"/>
      <c r="G53" s="39"/>
      <c r="H53" s="39"/>
      <c r="I53" s="39"/>
      <c r="J53" s="39"/>
    </row>
    <row r="54" customFormat="false" ht="15" hidden="false" customHeight="false" outlineLevel="0" collapsed="false">
      <c r="A54" s="39"/>
      <c r="B54" s="39"/>
      <c r="C54" s="39"/>
      <c r="D54" s="39"/>
      <c r="E54" s="40"/>
      <c r="F54" s="39"/>
      <c r="G54" s="39"/>
      <c r="H54" s="39"/>
      <c r="I54" s="39"/>
      <c r="J54" s="39"/>
    </row>
    <row r="55" customFormat="false" ht="15" hidden="false" customHeight="false" outlineLevel="0" collapsed="false">
      <c r="A55" s="39"/>
      <c r="B55" s="39"/>
      <c r="C55" s="39"/>
      <c r="D55" s="39"/>
      <c r="E55" s="40"/>
      <c r="F55" s="39"/>
      <c r="G55" s="39"/>
      <c r="H55" s="39"/>
      <c r="I55" s="39"/>
      <c r="J55" s="39"/>
    </row>
    <row r="56" customFormat="false" ht="15" hidden="false" customHeight="false" outlineLevel="0" collapsed="false">
      <c r="A56" s="39"/>
      <c r="B56" s="39"/>
      <c r="C56" s="39"/>
      <c r="D56" s="39"/>
      <c r="E56" s="40"/>
      <c r="F56" s="39"/>
      <c r="G56" s="39"/>
      <c r="H56" s="39"/>
      <c r="I56" s="39"/>
      <c r="J56" s="39"/>
    </row>
    <row r="57" customFormat="false" ht="15" hidden="false" customHeight="false" outlineLevel="0" collapsed="false">
      <c r="A57" s="39"/>
      <c r="B57" s="39"/>
      <c r="C57" s="39"/>
      <c r="D57" s="39"/>
      <c r="E57" s="40"/>
      <c r="F57" s="39"/>
      <c r="G57" s="39"/>
      <c r="H57" s="39"/>
      <c r="I57" s="39"/>
      <c r="J57" s="39"/>
    </row>
    <row r="58" customFormat="false" ht="15" hidden="false" customHeight="false" outlineLevel="0" collapsed="false">
      <c r="A58" s="39"/>
      <c r="B58" s="39"/>
      <c r="C58" s="39"/>
      <c r="D58" s="39"/>
      <c r="E58" s="40"/>
      <c r="F58" s="39"/>
      <c r="G58" s="39"/>
      <c r="H58" s="39"/>
      <c r="I58" s="39"/>
      <c r="J58" s="39"/>
    </row>
    <row r="59" customFormat="false" ht="15" hidden="false" customHeight="false" outlineLevel="0" collapsed="false">
      <c r="A59" s="39"/>
      <c r="B59" s="39"/>
      <c r="C59" s="39"/>
      <c r="D59" s="39"/>
      <c r="E59" s="40"/>
      <c r="F59" s="39"/>
      <c r="G59" s="39"/>
      <c r="H59" s="39"/>
      <c r="I59" s="39"/>
      <c r="J59" s="39"/>
    </row>
    <row r="60" customFormat="false" ht="15" hidden="false" customHeight="false" outlineLevel="0" collapsed="false">
      <c r="A60" s="39"/>
      <c r="B60" s="39"/>
      <c r="C60" s="39"/>
      <c r="D60" s="39"/>
      <c r="E60" s="40"/>
      <c r="F60" s="39"/>
      <c r="G60" s="39"/>
      <c r="H60" s="39"/>
      <c r="I60" s="39"/>
      <c r="J60" s="39"/>
    </row>
    <row r="61" customFormat="false" ht="15" hidden="false" customHeight="false" outlineLevel="0" collapsed="false">
      <c r="A61" s="39"/>
      <c r="B61" s="39"/>
      <c r="C61" s="39"/>
      <c r="D61" s="39"/>
      <c r="E61" s="40"/>
      <c r="F61" s="39"/>
      <c r="G61" s="39"/>
      <c r="H61" s="39"/>
      <c r="I61" s="39"/>
      <c r="J61" s="39"/>
    </row>
    <row r="62" customFormat="false" ht="15" hidden="false" customHeight="false" outlineLevel="0" collapsed="false">
      <c r="A62" s="39"/>
      <c r="B62" s="39"/>
      <c r="C62" s="39"/>
      <c r="D62" s="39"/>
      <c r="E62" s="40"/>
      <c r="F62" s="39"/>
      <c r="G62" s="39"/>
      <c r="H62" s="39"/>
      <c r="I62" s="39"/>
      <c r="J62" s="39"/>
    </row>
    <row r="63" customFormat="false" ht="15" hidden="false" customHeight="false" outlineLevel="0" collapsed="false">
      <c r="A63" s="39"/>
      <c r="B63" s="39"/>
      <c r="C63" s="39"/>
      <c r="D63" s="39"/>
      <c r="E63" s="40"/>
      <c r="F63" s="39"/>
      <c r="G63" s="39"/>
      <c r="H63" s="39"/>
      <c r="I63" s="39"/>
      <c r="J63" s="39"/>
    </row>
    <row r="64" customFormat="false" ht="15" hidden="false" customHeight="false" outlineLevel="0" collapsed="false">
      <c r="A64" s="39"/>
      <c r="B64" s="39"/>
      <c r="C64" s="39"/>
      <c r="D64" s="39"/>
      <c r="E64" s="40"/>
      <c r="F64" s="39"/>
      <c r="G64" s="39"/>
      <c r="H64" s="39"/>
      <c r="I64" s="39"/>
      <c r="J64" s="39"/>
    </row>
    <row r="65" customFormat="false" ht="15" hidden="false" customHeight="false" outlineLevel="0" collapsed="false">
      <c r="A65" s="39"/>
      <c r="B65" s="39"/>
      <c r="C65" s="39"/>
      <c r="D65" s="39"/>
      <c r="E65" s="40"/>
      <c r="F65" s="39"/>
      <c r="G65" s="39"/>
      <c r="H65" s="39"/>
      <c r="I65" s="39"/>
      <c r="J65" s="39"/>
    </row>
    <row r="66" customFormat="false" ht="15" hidden="false" customHeight="false" outlineLevel="0" collapsed="false">
      <c r="A66" s="39"/>
      <c r="B66" s="39"/>
      <c r="C66" s="39"/>
      <c r="D66" s="39"/>
      <c r="E66" s="40"/>
      <c r="F66" s="39"/>
      <c r="G66" s="39"/>
      <c r="H66" s="39"/>
      <c r="I66" s="39"/>
      <c r="J66" s="39"/>
    </row>
    <row r="67" customFormat="false" ht="15" hidden="false" customHeight="false" outlineLevel="0" collapsed="false">
      <c r="A67" s="39"/>
      <c r="B67" s="39"/>
      <c r="C67" s="39"/>
      <c r="D67" s="39"/>
      <c r="E67" s="40"/>
      <c r="F67" s="39"/>
      <c r="G67" s="39"/>
      <c r="H67" s="39"/>
      <c r="I67" s="39"/>
      <c r="J67" s="39"/>
    </row>
    <row r="68" customFormat="false" ht="15" hidden="false" customHeight="false" outlineLevel="0" collapsed="false">
      <c r="A68" s="39"/>
      <c r="B68" s="39"/>
      <c r="C68" s="39"/>
      <c r="D68" s="39"/>
      <c r="E68" s="40"/>
      <c r="F68" s="39"/>
      <c r="G68" s="39"/>
      <c r="H68" s="39"/>
      <c r="I68" s="39"/>
      <c r="J68" s="39"/>
    </row>
    <row r="69" customFormat="false" ht="15" hidden="false" customHeight="false" outlineLevel="0" collapsed="false">
      <c r="A69" s="39"/>
      <c r="B69" s="39"/>
      <c r="C69" s="39"/>
      <c r="D69" s="39"/>
      <c r="E69" s="40"/>
      <c r="F69" s="39"/>
      <c r="G69" s="39"/>
      <c r="H69" s="39"/>
      <c r="I69" s="39"/>
      <c r="J69" s="39"/>
    </row>
    <row r="70" customFormat="false" ht="15" hidden="false" customHeight="false" outlineLevel="0" collapsed="false">
      <c r="A70" s="39"/>
      <c r="B70" s="39"/>
      <c r="C70" s="39"/>
      <c r="D70" s="39"/>
      <c r="E70" s="40"/>
      <c r="F70" s="39"/>
      <c r="G70" s="39"/>
      <c r="H70" s="39"/>
      <c r="I70" s="39"/>
      <c r="J70" s="39"/>
    </row>
    <row r="71" customFormat="false" ht="15" hidden="false" customHeight="false" outlineLevel="0" collapsed="false">
      <c r="A71" s="39"/>
      <c r="B71" s="39"/>
      <c r="C71" s="39"/>
      <c r="D71" s="39"/>
      <c r="E71" s="40"/>
      <c r="F71" s="39"/>
      <c r="G71" s="39"/>
      <c r="H71" s="39"/>
      <c r="I71" s="39"/>
      <c r="J71" s="39"/>
    </row>
    <row r="72" customFormat="false" ht="15" hidden="false" customHeight="false" outlineLevel="0" collapsed="false">
      <c r="A72" s="39"/>
      <c r="B72" s="39"/>
      <c r="C72" s="39"/>
      <c r="D72" s="39"/>
      <c r="E72" s="40"/>
      <c r="F72" s="39"/>
      <c r="G72" s="39"/>
      <c r="H72" s="39"/>
      <c r="I72" s="39"/>
      <c r="J72" s="39"/>
    </row>
    <row r="73" customFormat="false" ht="15" hidden="false" customHeight="false" outlineLevel="0" collapsed="false">
      <c r="A73" s="39"/>
      <c r="B73" s="39"/>
      <c r="C73" s="39"/>
      <c r="D73" s="39"/>
      <c r="E73" s="40"/>
      <c r="F73" s="39"/>
      <c r="G73" s="39"/>
      <c r="H73" s="39"/>
      <c r="I73" s="39"/>
      <c r="J73" s="39"/>
    </row>
    <row r="74" customFormat="false" ht="15" hidden="false" customHeight="false" outlineLevel="0" collapsed="false">
      <c r="A74" s="39"/>
      <c r="B74" s="39"/>
      <c r="C74" s="39"/>
      <c r="D74" s="39"/>
      <c r="E74" s="40"/>
      <c r="F74" s="39"/>
      <c r="G74" s="39"/>
      <c r="H74" s="39"/>
      <c r="I74" s="39"/>
      <c r="J74" s="39"/>
    </row>
    <row r="75" customFormat="false" ht="15" hidden="false" customHeight="false" outlineLevel="0" collapsed="false">
      <c r="A75" s="39"/>
      <c r="B75" s="39"/>
      <c r="C75" s="39"/>
      <c r="D75" s="39"/>
      <c r="E75" s="40"/>
      <c r="F75" s="39"/>
      <c r="G75" s="39"/>
      <c r="H75" s="39"/>
      <c r="I75" s="39"/>
      <c r="J75" s="39"/>
    </row>
    <row r="76" customFormat="false" ht="15" hidden="false" customHeight="false" outlineLevel="0" collapsed="false">
      <c r="A76" s="39"/>
      <c r="B76" s="39"/>
      <c r="C76" s="39"/>
      <c r="D76" s="39"/>
      <c r="E76" s="40"/>
      <c r="F76" s="39"/>
      <c r="G76" s="39"/>
      <c r="H76" s="39"/>
      <c r="I76" s="39"/>
      <c r="J76" s="39"/>
    </row>
    <row r="77" customFormat="false" ht="15" hidden="false" customHeight="false" outlineLevel="0" collapsed="false">
      <c r="A77" s="39"/>
      <c r="B77" s="39"/>
      <c r="C77" s="39"/>
      <c r="D77" s="39"/>
      <c r="E77" s="40"/>
      <c r="F77" s="39"/>
      <c r="G77" s="39"/>
      <c r="H77" s="39"/>
      <c r="I77" s="39"/>
      <c r="J77" s="39"/>
    </row>
    <row r="78" customFormat="false" ht="15" hidden="false" customHeight="false" outlineLevel="0" collapsed="false">
      <c r="A78" s="39"/>
      <c r="B78" s="39"/>
      <c r="C78" s="39"/>
      <c r="D78" s="39"/>
      <c r="E78" s="40"/>
      <c r="F78" s="39"/>
      <c r="G78" s="39"/>
      <c r="H78" s="39"/>
      <c r="I78" s="39"/>
      <c r="J78" s="39"/>
    </row>
    <row r="79" customFormat="false" ht="15" hidden="false" customHeight="false" outlineLevel="0" collapsed="false">
      <c r="A79" s="39"/>
      <c r="B79" s="39"/>
      <c r="C79" s="39"/>
      <c r="D79" s="39"/>
      <c r="E79" s="40"/>
      <c r="F79" s="39"/>
      <c r="G79" s="39"/>
      <c r="H79" s="39"/>
      <c r="I79" s="39"/>
      <c r="J79" s="39"/>
    </row>
    <row r="80" customFormat="false" ht="15" hidden="false" customHeight="false" outlineLevel="0" collapsed="false">
      <c r="A80" s="39"/>
      <c r="B80" s="39"/>
      <c r="C80" s="39"/>
      <c r="D80" s="39"/>
      <c r="E80" s="40"/>
      <c r="F80" s="39"/>
      <c r="G80" s="39"/>
      <c r="H80" s="39"/>
      <c r="I80" s="39"/>
      <c r="J80" s="39"/>
    </row>
    <row r="81" customFormat="false" ht="15" hidden="false" customHeight="false" outlineLevel="0" collapsed="false">
      <c r="A81" s="39"/>
      <c r="B81" s="39"/>
      <c r="C81" s="39"/>
      <c r="D81" s="39"/>
      <c r="E81" s="40"/>
      <c r="F81" s="39"/>
      <c r="G81" s="39"/>
      <c r="H81" s="39"/>
      <c r="I81" s="39"/>
      <c r="J81" s="39"/>
    </row>
    <row r="82" customFormat="false" ht="15" hidden="false" customHeight="false" outlineLevel="0" collapsed="false">
      <c r="A82" s="39"/>
      <c r="B82" s="39"/>
      <c r="C82" s="39"/>
      <c r="D82" s="39"/>
      <c r="E82" s="40"/>
      <c r="F82" s="39"/>
      <c r="G82" s="39"/>
      <c r="H82" s="39"/>
      <c r="I82" s="39"/>
      <c r="J82" s="39"/>
    </row>
    <row r="83" customFormat="false" ht="15" hidden="false" customHeight="false" outlineLevel="0" collapsed="false">
      <c r="A83" s="39"/>
      <c r="B83" s="39"/>
      <c r="C83" s="39"/>
      <c r="D83" s="39"/>
      <c r="E83" s="40"/>
      <c r="F83" s="39"/>
      <c r="G83" s="39"/>
      <c r="H83" s="39"/>
      <c r="I83" s="39"/>
      <c r="J83" s="39"/>
    </row>
    <row r="84" customFormat="false" ht="15" hidden="false" customHeight="false" outlineLevel="0" collapsed="false">
      <c r="A84" s="39"/>
      <c r="B84" s="39"/>
      <c r="C84" s="39"/>
      <c r="D84" s="39"/>
      <c r="E84" s="40"/>
      <c r="F84" s="39"/>
      <c r="G84" s="39"/>
      <c r="H84" s="39"/>
      <c r="I84" s="39"/>
      <c r="J84" s="39"/>
    </row>
    <row r="85" customFormat="false" ht="15" hidden="false" customHeight="false" outlineLevel="0" collapsed="false">
      <c r="A85" s="39"/>
      <c r="B85" s="39"/>
      <c r="C85" s="39"/>
      <c r="D85" s="39"/>
      <c r="E85" s="40"/>
      <c r="F85" s="39"/>
      <c r="G85" s="39"/>
      <c r="H85" s="39"/>
      <c r="I85" s="39"/>
      <c r="J85" s="39"/>
    </row>
    <row r="86" customFormat="false" ht="15" hidden="false" customHeight="false" outlineLevel="0" collapsed="false">
      <c r="A86" s="39"/>
      <c r="B86" s="39"/>
      <c r="C86" s="39"/>
      <c r="D86" s="39"/>
      <c r="E86" s="40"/>
      <c r="F86" s="39"/>
      <c r="G86" s="39"/>
      <c r="H86" s="39"/>
      <c r="I86" s="39"/>
      <c r="J86" s="39"/>
    </row>
    <row r="87" customFormat="false" ht="15" hidden="false" customHeight="false" outlineLevel="0" collapsed="false">
      <c r="A87" s="39"/>
      <c r="B87" s="39"/>
      <c r="C87" s="39"/>
      <c r="D87" s="39"/>
      <c r="E87" s="40"/>
      <c r="F87" s="39"/>
      <c r="G87" s="39"/>
      <c r="H87" s="39"/>
      <c r="I87" s="39"/>
      <c r="J87" s="39"/>
    </row>
    <row r="88" customFormat="false" ht="15" hidden="false" customHeight="false" outlineLevel="0" collapsed="false">
      <c r="A88" s="39"/>
      <c r="B88" s="39"/>
      <c r="C88" s="39"/>
      <c r="D88" s="39"/>
      <c r="E88" s="40"/>
      <c r="F88" s="39"/>
      <c r="G88" s="39"/>
      <c r="H88" s="39"/>
      <c r="I88" s="39"/>
      <c r="J88" s="39"/>
    </row>
    <row r="89" customFormat="false" ht="15" hidden="false" customHeight="false" outlineLevel="0" collapsed="false">
      <c r="A89" s="39"/>
      <c r="B89" s="39"/>
      <c r="C89" s="39"/>
      <c r="D89" s="39"/>
      <c r="E89" s="40"/>
      <c r="F89" s="39"/>
      <c r="G89" s="39"/>
      <c r="H89" s="39"/>
      <c r="I89" s="39"/>
      <c r="J89" s="39"/>
    </row>
    <row r="90" customFormat="false" ht="15" hidden="false" customHeight="false" outlineLevel="0" collapsed="false">
      <c r="A90" s="39"/>
      <c r="B90" s="39"/>
      <c r="C90" s="39"/>
      <c r="D90" s="39"/>
      <c r="E90" s="40"/>
      <c r="F90" s="39"/>
      <c r="G90" s="39"/>
      <c r="H90" s="39"/>
      <c r="I90" s="39"/>
      <c r="J90" s="39"/>
    </row>
    <row r="91" customFormat="false" ht="15" hidden="false" customHeight="false" outlineLevel="0" collapsed="false">
      <c r="A91" s="39"/>
      <c r="B91" s="39"/>
      <c r="C91" s="39"/>
      <c r="D91" s="39"/>
      <c r="E91" s="40"/>
      <c r="F91" s="39"/>
      <c r="G91" s="39"/>
      <c r="H91" s="39"/>
      <c r="I91" s="39"/>
      <c r="J91" s="39"/>
    </row>
    <row r="92" customFormat="false" ht="15" hidden="false" customHeight="false" outlineLevel="0" collapsed="false">
      <c r="A92" s="39"/>
      <c r="B92" s="39"/>
      <c r="C92" s="39"/>
      <c r="D92" s="39"/>
      <c r="E92" s="40"/>
      <c r="F92" s="39"/>
      <c r="G92" s="39"/>
      <c r="H92" s="39"/>
      <c r="I92" s="39"/>
      <c r="J92" s="39"/>
    </row>
    <row r="93" customFormat="false" ht="15" hidden="false" customHeight="false" outlineLevel="0" collapsed="false">
      <c r="A93" s="39"/>
      <c r="B93" s="39"/>
      <c r="C93" s="39"/>
      <c r="D93" s="39"/>
      <c r="E93" s="40"/>
      <c r="F93" s="39"/>
      <c r="G93" s="39"/>
      <c r="H93" s="39"/>
      <c r="I93" s="39"/>
      <c r="J93" s="39"/>
    </row>
    <row r="94" customFormat="false" ht="15" hidden="false" customHeight="false" outlineLevel="0" collapsed="false">
      <c r="A94" s="39"/>
      <c r="B94" s="39"/>
      <c r="C94" s="39"/>
      <c r="D94" s="39"/>
      <c r="E94" s="40"/>
      <c r="F94" s="39"/>
      <c r="G94" s="39"/>
      <c r="H94" s="39"/>
      <c r="I94" s="39"/>
      <c r="J94" s="39"/>
    </row>
    <row r="95" customFormat="false" ht="15" hidden="false" customHeight="false" outlineLevel="0" collapsed="false">
      <c r="A95" s="39"/>
      <c r="B95" s="39"/>
      <c r="C95" s="39"/>
      <c r="D95" s="39"/>
      <c r="E95" s="40"/>
      <c r="F95" s="39"/>
      <c r="G95" s="39"/>
      <c r="H95" s="39"/>
      <c r="I95" s="39"/>
      <c r="J95" s="39"/>
    </row>
    <row r="96" customFormat="false" ht="15" hidden="false" customHeight="false" outlineLevel="0" collapsed="false">
      <c r="A96" s="39"/>
      <c r="B96" s="39"/>
      <c r="C96" s="39"/>
      <c r="D96" s="39"/>
      <c r="E96" s="40"/>
      <c r="F96" s="39"/>
      <c r="G96" s="39"/>
      <c r="H96" s="39"/>
      <c r="I96" s="39"/>
      <c r="J96" s="39"/>
    </row>
    <row r="97" customFormat="false" ht="15" hidden="false" customHeight="false" outlineLevel="0" collapsed="false">
      <c r="A97" s="39"/>
      <c r="B97" s="39"/>
      <c r="C97" s="39"/>
      <c r="D97" s="39"/>
      <c r="E97" s="40"/>
      <c r="F97" s="39"/>
      <c r="G97" s="39"/>
      <c r="H97" s="39"/>
      <c r="I97" s="39"/>
      <c r="J97" s="39"/>
    </row>
    <row r="98" customFormat="false" ht="15" hidden="false" customHeight="false" outlineLevel="0" collapsed="false">
      <c r="A98" s="39"/>
      <c r="B98" s="39"/>
      <c r="C98" s="39"/>
      <c r="D98" s="39"/>
      <c r="E98" s="40"/>
      <c r="F98" s="39"/>
      <c r="G98" s="39"/>
      <c r="H98" s="39"/>
      <c r="I98" s="39"/>
      <c r="J98" s="39"/>
    </row>
    <row r="99" customFormat="false" ht="15" hidden="false" customHeight="false" outlineLevel="0" collapsed="false">
      <c r="A99" s="39"/>
      <c r="B99" s="39"/>
      <c r="C99" s="39"/>
      <c r="D99" s="39"/>
      <c r="E99" s="40"/>
      <c r="F99" s="39"/>
      <c r="G99" s="39"/>
      <c r="H99" s="39"/>
      <c r="I99" s="39"/>
      <c r="J99" s="39"/>
    </row>
    <row r="100" customFormat="false" ht="15" hidden="false" customHeight="false" outlineLevel="0" collapsed="false">
      <c r="A100" s="39"/>
      <c r="B100" s="39"/>
      <c r="C100" s="39"/>
      <c r="D100" s="39"/>
      <c r="E100" s="40"/>
      <c r="F100" s="39"/>
      <c r="G100" s="39"/>
      <c r="H100" s="39"/>
      <c r="I100" s="39"/>
      <c r="J100" s="39"/>
    </row>
    <row r="101" customFormat="false" ht="15" hidden="false" customHeight="false" outlineLevel="0" collapsed="false">
      <c r="A101" s="39"/>
      <c r="B101" s="39"/>
      <c r="C101" s="39"/>
      <c r="D101" s="39"/>
      <c r="E101" s="40"/>
      <c r="F101" s="39"/>
      <c r="G101" s="39"/>
      <c r="H101" s="39"/>
      <c r="I101" s="39"/>
      <c r="J101" s="39"/>
    </row>
    <row r="102" customFormat="false" ht="15" hidden="false" customHeight="false" outlineLevel="0" collapsed="false">
      <c r="A102" s="39"/>
      <c r="B102" s="39"/>
      <c r="C102" s="39"/>
      <c r="D102" s="39"/>
      <c r="E102" s="40"/>
      <c r="F102" s="39"/>
      <c r="G102" s="39"/>
      <c r="H102" s="39"/>
      <c r="I102" s="39"/>
      <c r="J102" s="39"/>
    </row>
    <row r="103" customFormat="false" ht="15" hidden="false" customHeight="false" outlineLevel="0" collapsed="false">
      <c r="A103" s="39"/>
      <c r="B103" s="39"/>
      <c r="C103" s="39"/>
      <c r="D103" s="39"/>
      <c r="E103" s="40"/>
      <c r="F103" s="39"/>
      <c r="G103" s="39"/>
      <c r="H103" s="39"/>
      <c r="I103" s="39"/>
      <c r="J103" s="39"/>
    </row>
    <row r="104" customFormat="false" ht="15" hidden="false" customHeight="false" outlineLevel="0" collapsed="false">
      <c r="A104" s="39"/>
      <c r="B104" s="39"/>
      <c r="C104" s="39"/>
      <c r="D104" s="39"/>
      <c r="E104" s="40"/>
      <c r="F104" s="39"/>
      <c r="G104" s="39"/>
      <c r="H104" s="39"/>
      <c r="I104" s="39"/>
      <c r="J104" s="39"/>
    </row>
    <row r="105" customFormat="false" ht="15" hidden="false" customHeight="false" outlineLevel="0" collapsed="false">
      <c r="A105" s="39"/>
      <c r="B105" s="39"/>
      <c r="C105" s="39"/>
      <c r="D105" s="39"/>
      <c r="E105" s="40"/>
      <c r="F105" s="39"/>
      <c r="G105" s="39"/>
      <c r="H105" s="39"/>
      <c r="I105" s="39"/>
      <c r="J105" s="39"/>
    </row>
  </sheetData>
  <mergeCells count="2">
    <mergeCell ref="A1:J1"/>
    <mergeCell ref="A2:J2"/>
  </mergeCells>
  <dataValidations count="4">
    <dataValidation allowBlank="true" error="Enter a number (hours, days, or GB as the header says)." errorStyle="stop" errorTitle="Number required" operator="greaterThanOrEqual" showDropDown="false" showErrorMessage="true" showInputMessage="false" sqref="E5:E105" type="decimal">
      <formula1>0</formula1>
      <formula2>0</formula2>
    </dataValidation>
    <dataValidation allowBlank="true" errorStyle="stop" operator="between" showDropDown="false" showErrorMessage="false" showInputMessage="false" sqref="B5:B105" type="list">
      <formula1>SiteType</formula1>
      <formula2>0</formula2>
    </dataValidation>
    <dataValidation allowBlank="true" errorStyle="stop" operator="between" showDropDown="false" showErrorMessage="false" showInputMessage="false" sqref="H5:H105" type="list">
      <formula1>YesNo</formula1>
      <formula2>0</formula2>
    </dataValidation>
    <dataValidation allowBlank="true" errorStyle="stop" operator="between" showDropDown="false" showErrorMessage="false" showInputMessage="false" sqref="I5:I105" type="list">
      <formula1>YesNo</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&amp;A&amp;R&amp;8 Powered by MSP Culture  |  v1.0  |  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8FF"/>
    <pageSetUpPr fitToPage="true"/>
  </sheetPr>
  <dimension ref="A1:I1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6"/>
    <col collapsed="false" customWidth="true" hidden="false" outlineLevel="0" max="4" min="4" style="0" width="20"/>
    <col collapsed="false" customWidth="true" hidden="false" outlineLevel="0" max="6" min="5" style="0" width="16"/>
    <col collapsed="false" customWidth="true" hidden="false" outlineLevel="0" max="8" min="7" style="0" width="18"/>
    <col collapsed="false" customWidth="true" hidden="false" outlineLevel="0" max="9" min="9" style="0" width="22"/>
  </cols>
  <sheetData>
    <row r="1" customFormat="false" ht="33.75" hidden="false" customHeight="true" outlineLevel="0" collapsed="false">
      <c r="A1" s="26" t="str">
        <f aca="false">IF(PreparedFor="","Crisis Communications Plan","Crisis Communications Plan  |  "&amp;PreparedFor)</f>
        <v>Crisis Communications Plan</v>
      </c>
      <c r="B1" s="26"/>
      <c r="C1" s="26"/>
      <c r="D1" s="26"/>
      <c r="E1" s="26"/>
      <c r="F1" s="26"/>
      <c r="G1" s="26"/>
      <c r="H1" s="26"/>
      <c r="I1" s="26"/>
    </row>
    <row r="2" customFormat="false" ht="48" hidden="false" customHeight="true" outlineLevel="0" collapsed="false">
      <c r="A2" s="27" t="s">
        <v>433</v>
      </c>
      <c r="B2" s="27"/>
      <c r="C2" s="27"/>
      <c r="D2" s="27"/>
      <c r="E2" s="27"/>
      <c r="F2" s="27"/>
      <c r="G2" s="27"/>
      <c r="H2" s="27"/>
      <c r="I2" s="27"/>
    </row>
    <row r="3" customFormat="false" ht="42" hidden="false" customHeight="true" outlineLevel="0" collapsed="false">
      <c r="A3" s="33" t="s">
        <v>434</v>
      </c>
      <c r="B3" s="33" t="s">
        <v>435</v>
      </c>
      <c r="C3" s="33" t="s">
        <v>436</v>
      </c>
      <c r="D3" s="33" t="s">
        <v>437</v>
      </c>
      <c r="E3" s="33" t="s">
        <v>438</v>
      </c>
      <c r="F3" s="33" t="s">
        <v>439</v>
      </c>
      <c r="G3" s="33" t="s">
        <v>440</v>
      </c>
      <c r="H3" s="33" t="s">
        <v>441</v>
      </c>
      <c r="I3" s="33" t="s">
        <v>177</v>
      </c>
    </row>
    <row r="4" customFormat="false" ht="66" hidden="false" customHeight="true" outlineLevel="0" collapsed="false">
      <c r="A4" s="35"/>
      <c r="B4" s="35"/>
      <c r="C4" s="35"/>
      <c r="D4" s="35"/>
      <c r="E4" s="35"/>
      <c r="F4" s="35"/>
      <c r="G4" s="35" t="s">
        <v>442</v>
      </c>
      <c r="H4" s="35"/>
      <c r="I4" s="35"/>
    </row>
    <row r="5" customFormat="false" ht="22.35" hidden="false" customHeight="false" outlineLevel="0" collapsed="false">
      <c r="A5" s="36" t="s">
        <v>443</v>
      </c>
      <c r="B5" s="36" t="s">
        <v>444</v>
      </c>
      <c r="C5" s="36" t="s">
        <v>445</v>
      </c>
      <c r="D5" s="36" t="s">
        <v>446</v>
      </c>
      <c r="E5" s="36" t="s">
        <v>447</v>
      </c>
      <c r="F5" s="36" t="s">
        <v>448</v>
      </c>
      <c r="G5" s="36" t="s">
        <v>449</v>
      </c>
      <c r="H5" s="36" t="s">
        <v>450</v>
      </c>
      <c r="I5" s="36"/>
    </row>
    <row r="6" customFormat="false" ht="15" hidden="false" customHeight="false" outlineLevel="0" collapsed="false">
      <c r="A6" s="39"/>
      <c r="B6" s="39"/>
      <c r="C6" s="39"/>
      <c r="D6" s="39"/>
      <c r="E6" s="39"/>
      <c r="F6" s="39"/>
      <c r="G6" s="39"/>
      <c r="H6" s="39"/>
      <c r="I6" s="39"/>
    </row>
    <row r="7" customFormat="false" ht="15" hidden="false" customHeight="false" outlineLevel="0" collapsed="false">
      <c r="A7" s="39"/>
      <c r="B7" s="39"/>
      <c r="C7" s="39"/>
      <c r="D7" s="39"/>
      <c r="E7" s="39"/>
      <c r="F7" s="39"/>
      <c r="G7" s="39"/>
      <c r="H7" s="39"/>
      <c r="I7" s="39"/>
    </row>
    <row r="8" customFormat="false" ht="15" hidden="false" customHeight="false" outlineLevel="0" collapsed="false">
      <c r="A8" s="39"/>
      <c r="B8" s="39"/>
      <c r="C8" s="39"/>
      <c r="D8" s="39"/>
      <c r="E8" s="39"/>
      <c r="F8" s="39"/>
      <c r="G8" s="39"/>
      <c r="H8" s="39"/>
      <c r="I8" s="39"/>
    </row>
    <row r="9" customFormat="false" ht="15" hidden="false" customHeight="false" outlineLevel="0" collapsed="false">
      <c r="A9" s="39"/>
      <c r="B9" s="39"/>
      <c r="C9" s="39"/>
      <c r="D9" s="39"/>
      <c r="E9" s="39"/>
      <c r="F9" s="39"/>
      <c r="G9" s="39"/>
      <c r="H9" s="39"/>
      <c r="I9" s="39"/>
    </row>
    <row r="10" customFormat="false" ht="15" hidden="false" customHeight="false" outlineLevel="0" collapsed="false">
      <c r="A10" s="39"/>
      <c r="B10" s="39"/>
      <c r="C10" s="39"/>
      <c r="D10" s="39"/>
      <c r="E10" s="39"/>
      <c r="F10" s="39"/>
      <c r="G10" s="39"/>
      <c r="H10" s="39"/>
      <c r="I10" s="39"/>
    </row>
    <row r="11" customFormat="false" ht="15" hidden="false" customHeight="false" outlineLevel="0" collapsed="false">
      <c r="A11" s="39"/>
      <c r="B11" s="39"/>
      <c r="C11" s="39"/>
      <c r="D11" s="39"/>
      <c r="E11" s="39"/>
      <c r="F11" s="39"/>
      <c r="G11" s="39"/>
      <c r="H11" s="39"/>
      <c r="I11" s="39"/>
    </row>
    <row r="12" customFormat="false" ht="15" hidden="false" customHeight="false" outlineLevel="0" collapsed="false">
      <c r="A12" s="39"/>
      <c r="B12" s="39"/>
      <c r="C12" s="39"/>
      <c r="D12" s="39"/>
      <c r="E12" s="39"/>
      <c r="F12" s="39"/>
      <c r="G12" s="39"/>
      <c r="H12" s="39"/>
      <c r="I12" s="39"/>
    </row>
    <row r="13" customFormat="false" ht="15" hidden="false" customHeight="false" outlineLevel="0" collapsed="false">
      <c r="A13" s="39"/>
      <c r="B13" s="39"/>
      <c r="C13" s="39"/>
      <c r="D13" s="39"/>
      <c r="E13" s="39"/>
      <c r="F13" s="39"/>
      <c r="G13" s="39"/>
      <c r="H13" s="39"/>
      <c r="I13" s="39"/>
    </row>
    <row r="14" customFormat="false" ht="15" hidden="false" customHeight="false" outlineLevel="0" collapsed="false">
      <c r="A14" s="39"/>
      <c r="B14" s="39"/>
      <c r="C14" s="39"/>
      <c r="D14" s="39"/>
      <c r="E14" s="39"/>
      <c r="F14" s="39"/>
      <c r="G14" s="39"/>
      <c r="H14" s="39"/>
      <c r="I14" s="39"/>
    </row>
    <row r="15" customFormat="false" ht="15" hidden="false" customHeight="false" outlineLevel="0" collapsed="false">
      <c r="A15" s="39"/>
      <c r="B15" s="39"/>
      <c r="C15" s="39"/>
      <c r="D15" s="39"/>
      <c r="E15" s="39"/>
      <c r="F15" s="39"/>
      <c r="G15" s="39"/>
      <c r="H15" s="39"/>
      <c r="I15" s="39"/>
    </row>
    <row r="16" customFormat="false" ht="15" hidden="false" customHeight="false" outlineLevel="0" collapsed="false">
      <c r="A16" s="39"/>
      <c r="B16" s="39"/>
      <c r="C16" s="39"/>
      <c r="D16" s="39"/>
      <c r="E16" s="39"/>
      <c r="F16" s="39"/>
      <c r="G16" s="39"/>
      <c r="H16" s="39"/>
      <c r="I16" s="39"/>
    </row>
    <row r="17" customFormat="false" ht="15" hidden="false" customHeight="false" outlineLevel="0" collapsed="false">
      <c r="A17" s="39"/>
      <c r="B17" s="39"/>
      <c r="C17" s="39"/>
      <c r="D17" s="39"/>
      <c r="E17" s="39"/>
      <c r="F17" s="39"/>
      <c r="G17" s="39"/>
      <c r="H17" s="39"/>
      <c r="I17" s="39"/>
    </row>
    <row r="18" customFormat="false" ht="15" hidden="false" customHeight="false" outlineLevel="0" collapsed="false">
      <c r="A18" s="39"/>
      <c r="B18" s="39"/>
      <c r="C18" s="39"/>
      <c r="D18" s="39"/>
      <c r="E18" s="39"/>
      <c r="F18" s="39"/>
      <c r="G18" s="39"/>
      <c r="H18" s="39"/>
      <c r="I18" s="39"/>
    </row>
    <row r="19" customFormat="false" ht="15" hidden="false" customHeight="false" outlineLevel="0" collapsed="false">
      <c r="A19" s="39"/>
      <c r="B19" s="39"/>
      <c r="C19" s="39"/>
      <c r="D19" s="39"/>
      <c r="E19" s="39"/>
      <c r="F19" s="39"/>
      <c r="G19" s="39"/>
      <c r="H19" s="39"/>
      <c r="I19" s="39"/>
    </row>
    <row r="20" customFormat="false" ht="15" hidden="false" customHeight="false" outlineLevel="0" collapsed="false">
      <c r="A20" s="39"/>
      <c r="B20" s="39"/>
      <c r="C20" s="39"/>
      <c r="D20" s="39"/>
      <c r="E20" s="39"/>
      <c r="F20" s="39"/>
      <c r="G20" s="39"/>
      <c r="H20" s="39"/>
      <c r="I20" s="39"/>
    </row>
    <row r="21" customFormat="false" ht="15" hidden="false" customHeight="false" outlineLevel="0" collapsed="false">
      <c r="A21" s="39"/>
      <c r="B21" s="39"/>
      <c r="C21" s="39"/>
      <c r="D21" s="39"/>
      <c r="E21" s="39"/>
      <c r="F21" s="39"/>
      <c r="G21" s="39"/>
      <c r="H21" s="39"/>
      <c r="I21" s="39"/>
    </row>
    <row r="22" customFormat="false" ht="15" hidden="false" customHeight="false" outlineLevel="0" collapsed="false">
      <c r="A22" s="39"/>
      <c r="B22" s="39"/>
      <c r="C22" s="39"/>
      <c r="D22" s="39"/>
      <c r="E22" s="39"/>
      <c r="F22" s="39"/>
      <c r="G22" s="39"/>
      <c r="H22" s="39"/>
      <c r="I22" s="39"/>
    </row>
    <row r="23" customFormat="false" ht="15" hidden="false" customHeight="false" outlineLevel="0" collapsed="false">
      <c r="A23" s="39"/>
      <c r="B23" s="39"/>
      <c r="C23" s="39"/>
      <c r="D23" s="39"/>
      <c r="E23" s="39"/>
      <c r="F23" s="39"/>
      <c r="G23" s="39"/>
      <c r="H23" s="39"/>
      <c r="I23" s="39"/>
    </row>
    <row r="24" customFormat="false" ht="15" hidden="false" customHeight="false" outlineLevel="0" collapsed="false">
      <c r="A24" s="39"/>
      <c r="B24" s="39"/>
      <c r="C24" s="39"/>
      <c r="D24" s="39"/>
      <c r="E24" s="39"/>
      <c r="F24" s="39"/>
      <c r="G24" s="39"/>
      <c r="H24" s="39"/>
      <c r="I24" s="39"/>
    </row>
    <row r="25" customFormat="false" ht="15" hidden="false" customHeight="false" outlineLevel="0" collapsed="false">
      <c r="A25" s="39"/>
      <c r="B25" s="39"/>
      <c r="C25" s="39"/>
      <c r="D25" s="39"/>
      <c r="E25" s="39"/>
      <c r="F25" s="39"/>
      <c r="G25" s="39"/>
      <c r="H25" s="39"/>
      <c r="I25" s="39"/>
    </row>
    <row r="26" customFormat="false" ht="15" hidden="false" customHeight="false" outlineLevel="0" collapsed="false">
      <c r="A26" s="39"/>
      <c r="B26" s="39"/>
      <c r="C26" s="39"/>
      <c r="D26" s="39"/>
      <c r="E26" s="39"/>
      <c r="F26" s="39"/>
      <c r="G26" s="39"/>
      <c r="H26" s="39"/>
      <c r="I26" s="39"/>
    </row>
    <row r="27" customFormat="false" ht="15" hidden="false" customHeight="false" outlineLevel="0" collapsed="false">
      <c r="A27" s="39"/>
      <c r="B27" s="39"/>
      <c r="C27" s="39"/>
      <c r="D27" s="39"/>
      <c r="E27" s="39"/>
      <c r="F27" s="39"/>
      <c r="G27" s="39"/>
      <c r="H27" s="39"/>
      <c r="I27" s="39"/>
    </row>
    <row r="28" customFormat="false" ht="15" hidden="false" customHeight="false" outlineLevel="0" collapsed="false">
      <c r="A28" s="39"/>
      <c r="B28" s="39"/>
      <c r="C28" s="39"/>
      <c r="D28" s="39"/>
      <c r="E28" s="39"/>
      <c r="F28" s="39"/>
      <c r="G28" s="39"/>
      <c r="H28" s="39"/>
      <c r="I28" s="39"/>
    </row>
    <row r="29" customFormat="false" ht="15" hidden="false" customHeight="false" outlineLevel="0" collapsed="false">
      <c r="A29" s="39"/>
      <c r="B29" s="39"/>
      <c r="C29" s="39"/>
      <c r="D29" s="39"/>
      <c r="E29" s="39"/>
      <c r="F29" s="39"/>
      <c r="G29" s="39"/>
      <c r="H29" s="39"/>
      <c r="I29" s="39"/>
    </row>
    <row r="30" customFormat="false" ht="15" hidden="false" customHeight="false" outlineLevel="0" collapsed="false">
      <c r="A30" s="39"/>
      <c r="B30" s="39"/>
      <c r="C30" s="39"/>
      <c r="D30" s="39"/>
      <c r="E30" s="39"/>
      <c r="F30" s="39"/>
      <c r="G30" s="39"/>
      <c r="H30" s="39"/>
      <c r="I30" s="39"/>
    </row>
    <row r="31" customFormat="false" ht="15" hidden="false" customHeight="false" outlineLevel="0" collapsed="false">
      <c r="A31" s="39"/>
      <c r="B31" s="39"/>
      <c r="C31" s="39"/>
      <c r="D31" s="39"/>
      <c r="E31" s="39"/>
      <c r="F31" s="39"/>
      <c r="G31" s="39"/>
      <c r="H31" s="39"/>
      <c r="I31" s="39"/>
    </row>
    <row r="32" customFormat="false" ht="15" hidden="false" customHeight="false" outlineLevel="0" collapsed="false">
      <c r="A32" s="39"/>
      <c r="B32" s="39"/>
      <c r="C32" s="39"/>
      <c r="D32" s="39"/>
      <c r="E32" s="39"/>
      <c r="F32" s="39"/>
      <c r="G32" s="39"/>
      <c r="H32" s="39"/>
      <c r="I32" s="39"/>
    </row>
    <row r="33" customFormat="false" ht="15" hidden="false" customHeight="false" outlineLevel="0" collapsed="false">
      <c r="A33" s="39"/>
      <c r="B33" s="39"/>
      <c r="C33" s="39"/>
      <c r="D33" s="39"/>
      <c r="E33" s="39"/>
      <c r="F33" s="39"/>
      <c r="G33" s="39"/>
      <c r="H33" s="39"/>
      <c r="I33" s="39"/>
    </row>
    <row r="34" customFormat="false" ht="15" hidden="false" customHeight="false" outlineLevel="0" collapsed="false">
      <c r="A34" s="39"/>
      <c r="B34" s="39"/>
      <c r="C34" s="39"/>
      <c r="D34" s="39"/>
      <c r="E34" s="39"/>
      <c r="F34" s="39"/>
      <c r="G34" s="39"/>
      <c r="H34" s="39"/>
      <c r="I34" s="39"/>
    </row>
    <row r="35" customFormat="false" ht="15" hidden="false" customHeight="false" outlineLevel="0" collapsed="false">
      <c r="A35" s="39"/>
      <c r="B35" s="39"/>
      <c r="C35" s="39"/>
      <c r="D35" s="39"/>
      <c r="E35" s="39"/>
      <c r="F35" s="39"/>
      <c r="G35" s="39"/>
      <c r="H35" s="39"/>
      <c r="I35" s="39"/>
    </row>
    <row r="36" customFormat="false" ht="15" hidden="false" customHeight="false" outlineLevel="0" collapsed="false">
      <c r="A36" s="39"/>
      <c r="B36" s="39"/>
      <c r="C36" s="39"/>
      <c r="D36" s="39"/>
      <c r="E36" s="39"/>
      <c r="F36" s="39"/>
      <c r="G36" s="39"/>
      <c r="H36" s="39"/>
      <c r="I36" s="39"/>
    </row>
    <row r="37" customFormat="false" ht="15" hidden="false" customHeight="false" outlineLevel="0" collapsed="false">
      <c r="A37" s="39"/>
      <c r="B37" s="39"/>
      <c r="C37" s="39"/>
      <c r="D37" s="39"/>
      <c r="E37" s="39"/>
      <c r="F37" s="39"/>
      <c r="G37" s="39"/>
      <c r="H37" s="39"/>
      <c r="I37" s="39"/>
    </row>
    <row r="38" customFormat="false" ht="15" hidden="false" customHeight="false" outlineLevel="0" collapsed="false">
      <c r="A38" s="39"/>
      <c r="B38" s="39"/>
      <c r="C38" s="39"/>
      <c r="D38" s="39"/>
      <c r="E38" s="39"/>
      <c r="F38" s="39"/>
      <c r="G38" s="39"/>
      <c r="H38" s="39"/>
      <c r="I38" s="39"/>
    </row>
    <row r="39" customFormat="false" ht="15" hidden="false" customHeight="false" outlineLevel="0" collapsed="false">
      <c r="A39" s="39"/>
      <c r="B39" s="39"/>
      <c r="C39" s="39"/>
      <c r="D39" s="39"/>
      <c r="E39" s="39"/>
      <c r="F39" s="39"/>
      <c r="G39" s="39"/>
      <c r="H39" s="39"/>
      <c r="I39" s="39"/>
    </row>
    <row r="40" customFormat="false" ht="15" hidden="false" customHeight="false" outlineLevel="0" collapsed="false">
      <c r="A40" s="39"/>
      <c r="B40" s="39"/>
      <c r="C40" s="39"/>
      <c r="D40" s="39"/>
      <c r="E40" s="39"/>
      <c r="F40" s="39"/>
      <c r="G40" s="39"/>
      <c r="H40" s="39"/>
      <c r="I40" s="39"/>
    </row>
    <row r="41" customFormat="false" ht="15" hidden="false" customHeight="false" outlineLevel="0" collapsed="false">
      <c r="A41" s="39"/>
      <c r="B41" s="39"/>
      <c r="C41" s="39"/>
      <c r="D41" s="39"/>
      <c r="E41" s="39"/>
      <c r="F41" s="39"/>
      <c r="G41" s="39"/>
      <c r="H41" s="39"/>
      <c r="I41" s="39"/>
    </row>
    <row r="42" customFormat="false" ht="15" hidden="false" customHeight="false" outlineLevel="0" collapsed="false">
      <c r="A42" s="39"/>
      <c r="B42" s="39"/>
      <c r="C42" s="39"/>
      <c r="D42" s="39"/>
      <c r="E42" s="39"/>
      <c r="F42" s="39"/>
      <c r="G42" s="39"/>
      <c r="H42" s="39"/>
      <c r="I42" s="39"/>
    </row>
    <row r="43" customFormat="false" ht="15" hidden="false" customHeight="false" outlineLevel="0" collapsed="false">
      <c r="A43" s="39"/>
      <c r="B43" s="39"/>
      <c r="C43" s="39"/>
      <c r="D43" s="39"/>
      <c r="E43" s="39"/>
      <c r="F43" s="39"/>
      <c r="G43" s="39"/>
      <c r="H43" s="39"/>
      <c r="I43" s="39"/>
    </row>
    <row r="44" customFormat="false" ht="15" hidden="false" customHeight="false" outlineLevel="0" collapsed="false">
      <c r="A44" s="39"/>
      <c r="B44" s="39"/>
      <c r="C44" s="39"/>
      <c r="D44" s="39"/>
      <c r="E44" s="39"/>
      <c r="F44" s="39"/>
      <c r="G44" s="39"/>
      <c r="H44" s="39"/>
      <c r="I44" s="39"/>
    </row>
    <row r="45" customFormat="false" ht="15" hidden="false" customHeight="false" outlineLevel="0" collapsed="false">
      <c r="A45" s="39"/>
      <c r="B45" s="39"/>
      <c r="C45" s="39"/>
      <c r="D45" s="39"/>
      <c r="E45" s="39"/>
      <c r="F45" s="39"/>
      <c r="G45" s="39"/>
      <c r="H45" s="39"/>
      <c r="I45" s="39"/>
    </row>
    <row r="46" customFormat="false" ht="15" hidden="false" customHeight="false" outlineLevel="0" collapsed="false">
      <c r="A46" s="39"/>
      <c r="B46" s="39"/>
      <c r="C46" s="39"/>
      <c r="D46" s="39"/>
      <c r="E46" s="39"/>
      <c r="F46" s="39"/>
      <c r="G46" s="39"/>
      <c r="H46" s="39"/>
      <c r="I46" s="39"/>
    </row>
    <row r="47" customFormat="false" ht="15" hidden="false" customHeight="false" outlineLevel="0" collapsed="false">
      <c r="A47" s="39"/>
      <c r="B47" s="39"/>
      <c r="C47" s="39"/>
      <c r="D47" s="39"/>
      <c r="E47" s="39"/>
      <c r="F47" s="39"/>
      <c r="G47" s="39"/>
      <c r="H47" s="39"/>
      <c r="I47" s="39"/>
    </row>
    <row r="48" customFormat="false" ht="15" hidden="false" customHeight="false" outlineLevel="0" collapsed="false">
      <c r="A48" s="39"/>
      <c r="B48" s="39"/>
      <c r="C48" s="39"/>
      <c r="D48" s="39"/>
      <c r="E48" s="39"/>
      <c r="F48" s="39"/>
      <c r="G48" s="39"/>
      <c r="H48" s="39"/>
      <c r="I48" s="39"/>
    </row>
    <row r="49" customFormat="false" ht="15" hidden="false" customHeight="false" outlineLevel="0" collapsed="false">
      <c r="A49" s="39"/>
      <c r="B49" s="39"/>
      <c r="C49" s="39"/>
      <c r="D49" s="39"/>
      <c r="E49" s="39"/>
      <c r="F49" s="39"/>
      <c r="G49" s="39"/>
      <c r="H49" s="39"/>
      <c r="I49" s="39"/>
    </row>
    <row r="50" customFormat="false" ht="15" hidden="false" customHeight="false" outlineLevel="0" collapsed="false">
      <c r="A50" s="39"/>
      <c r="B50" s="39"/>
      <c r="C50" s="39"/>
      <c r="D50" s="39"/>
      <c r="E50" s="39"/>
      <c r="F50" s="39"/>
      <c r="G50" s="39"/>
      <c r="H50" s="39"/>
      <c r="I50" s="39"/>
    </row>
    <row r="51" customFormat="false" ht="15" hidden="false" customHeight="false" outlineLevel="0" collapsed="false">
      <c r="A51" s="39"/>
      <c r="B51" s="39"/>
      <c r="C51" s="39"/>
      <c r="D51" s="39"/>
      <c r="E51" s="39"/>
      <c r="F51" s="39"/>
      <c r="G51" s="39"/>
      <c r="H51" s="39"/>
      <c r="I51" s="39"/>
    </row>
    <row r="52" customFormat="false" ht="15" hidden="false" customHeight="false" outlineLevel="0" collapsed="false">
      <c r="A52" s="39"/>
      <c r="B52" s="39"/>
      <c r="C52" s="39"/>
      <c r="D52" s="39"/>
      <c r="E52" s="39"/>
      <c r="F52" s="39"/>
      <c r="G52" s="39"/>
      <c r="H52" s="39"/>
      <c r="I52" s="39"/>
    </row>
    <row r="53" customFormat="false" ht="15" hidden="false" customHeight="false" outlineLevel="0" collapsed="false">
      <c r="A53" s="39"/>
      <c r="B53" s="39"/>
      <c r="C53" s="39"/>
      <c r="D53" s="39"/>
      <c r="E53" s="39"/>
      <c r="F53" s="39"/>
      <c r="G53" s="39"/>
      <c r="H53" s="39"/>
      <c r="I53" s="39"/>
    </row>
    <row r="54" customFormat="false" ht="15" hidden="false" customHeight="false" outlineLevel="0" collapsed="false">
      <c r="A54" s="39"/>
      <c r="B54" s="39"/>
      <c r="C54" s="39"/>
      <c r="D54" s="39"/>
      <c r="E54" s="39"/>
      <c r="F54" s="39"/>
      <c r="G54" s="39"/>
      <c r="H54" s="39"/>
      <c r="I54" s="39"/>
    </row>
    <row r="55" customFormat="false" ht="15" hidden="false" customHeight="false" outlineLevel="0" collapsed="false">
      <c r="A55" s="39"/>
      <c r="B55" s="39"/>
      <c r="C55" s="39"/>
      <c r="D55" s="39"/>
      <c r="E55" s="39"/>
      <c r="F55" s="39"/>
      <c r="G55" s="39"/>
      <c r="H55" s="39"/>
      <c r="I55" s="39"/>
    </row>
    <row r="56" customFormat="false" ht="15" hidden="false" customHeight="false" outlineLevel="0" collapsed="false">
      <c r="A56" s="39"/>
      <c r="B56" s="39"/>
      <c r="C56" s="39"/>
      <c r="D56" s="39"/>
      <c r="E56" s="39"/>
      <c r="F56" s="39"/>
      <c r="G56" s="39"/>
      <c r="H56" s="39"/>
      <c r="I56" s="39"/>
    </row>
    <row r="57" customFormat="false" ht="15" hidden="false" customHeight="false" outlineLevel="0" collapsed="false">
      <c r="A57" s="39"/>
      <c r="B57" s="39"/>
      <c r="C57" s="39"/>
      <c r="D57" s="39"/>
      <c r="E57" s="39"/>
      <c r="F57" s="39"/>
      <c r="G57" s="39"/>
      <c r="H57" s="39"/>
      <c r="I57" s="39"/>
    </row>
    <row r="58" customFormat="false" ht="15" hidden="false" customHeight="false" outlineLevel="0" collapsed="false">
      <c r="A58" s="39"/>
      <c r="B58" s="39"/>
      <c r="C58" s="39"/>
      <c r="D58" s="39"/>
      <c r="E58" s="39"/>
      <c r="F58" s="39"/>
      <c r="G58" s="39"/>
      <c r="H58" s="39"/>
      <c r="I58" s="39"/>
    </row>
    <row r="59" customFormat="false" ht="15" hidden="false" customHeight="false" outlineLevel="0" collapsed="false">
      <c r="A59" s="39"/>
      <c r="B59" s="39"/>
      <c r="C59" s="39"/>
      <c r="D59" s="39"/>
      <c r="E59" s="39"/>
      <c r="F59" s="39"/>
      <c r="G59" s="39"/>
      <c r="H59" s="39"/>
      <c r="I59" s="39"/>
    </row>
    <row r="60" customFormat="false" ht="15" hidden="false" customHeight="false" outlineLevel="0" collapsed="false">
      <c r="A60" s="39"/>
      <c r="B60" s="39"/>
      <c r="C60" s="39"/>
      <c r="D60" s="39"/>
      <c r="E60" s="39"/>
      <c r="F60" s="39"/>
      <c r="G60" s="39"/>
      <c r="H60" s="39"/>
      <c r="I60" s="39"/>
    </row>
    <row r="61" customFormat="false" ht="15" hidden="false" customHeight="false" outlineLevel="0" collapsed="false">
      <c r="A61" s="39"/>
      <c r="B61" s="39"/>
      <c r="C61" s="39"/>
      <c r="D61" s="39"/>
      <c r="E61" s="39"/>
      <c r="F61" s="39"/>
      <c r="G61" s="39"/>
      <c r="H61" s="39"/>
      <c r="I61" s="39"/>
    </row>
    <row r="62" customFormat="false" ht="15" hidden="false" customHeight="false" outlineLevel="0" collapsed="false">
      <c r="A62" s="39"/>
      <c r="B62" s="39"/>
      <c r="C62" s="39"/>
      <c r="D62" s="39"/>
      <c r="E62" s="39"/>
      <c r="F62" s="39"/>
      <c r="G62" s="39"/>
      <c r="H62" s="39"/>
      <c r="I62" s="39"/>
    </row>
    <row r="63" customFormat="false" ht="15" hidden="false" customHeight="false" outlineLevel="0" collapsed="false">
      <c r="A63" s="39"/>
      <c r="B63" s="39"/>
      <c r="C63" s="39"/>
      <c r="D63" s="39"/>
      <c r="E63" s="39"/>
      <c r="F63" s="39"/>
      <c r="G63" s="39"/>
      <c r="H63" s="39"/>
      <c r="I63" s="39"/>
    </row>
    <row r="64" customFormat="false" ht="15" hidden="false" customHeight="false" outlineLevel="0" collapsed="false">
      <c r="A64" s="39"/>
      <c r="B64" s="39"/>
      <c r="C64" s="39"/>
      <c r="D64" s="39"/>
      <c r="E64" s="39"/>
      <c r="F64" s="39"/>
      <c r="G64" s="39"/>
      <c r="H64" s="39"/>
      <c r="I64" s="39"/>
    </row>
    <row r="65" customFormat="false" ht="15" hidden="false" customHeight="false" outlineLevel="0" collapsed="false">
      <c r="A65" s="39"/>
      <c r="B65" s="39"/>
      <c r="C65" s="39"/>
      <c r="D65" s="39"/>
      <c r="E65" s="39"/>
      <c r="F65" s="39"/>
      <c r="G65" s="39"/>
      <c r="H65" s="39"/>
      <c r="I65" s="39"/>
    </row>
    <row r="66" customFormat="false" ht="15" hidden="false" customHeight="false" outlineLevel="0" collapsed="false">
      <c r="A66" s="39"/>
      <c r="B66" s="39"/>
      <c r="C66" s="39"/>
      <c r="D66" s="39"/>
      <c r="E66" s="39"/>
      <c r="F66" s="39"/>
      <c r="G66" s="39"/>
      <c r="H66" s="39"/>
      <c r="I66" s="39"/>
    </row>
    <row r="67" customFormat="false" ht="15" hidden="false" customHeight="false" outlineLevel="0" collapsed="false">
      <c r="A67" s="39"/>
      <c r="B67" s="39"/>
      <c r="C67" s="39"/>
      <c r="D67" s="39"/>
      <c r="E67" s="39"/>
      <c r="F67" s="39"/>
      <c r="G67" s="39"/>
      <c r="H67" s="39"/>
      <c r="I67" s="39"/>
    </row>
    <row r="68" customFormat="false" ht="15" hidden="false" customHeight="false" outlineLevel="0" collapsed="false">
      <c r="A68" s="39"/>
      <c r="B68" s="39"/>
      <c r="C68" s="39"/>
      <c r="D68" s="39"/>
      <c r="E68" s="39"/>
      <c r="F68" s="39"/>
      <c r="G68" s="39"/>
      <c r="H68" s="39"/>
      <c r="I68" s="39"/>
    </row>
    <row r="69" customFormat="false" ht="15" hidden="false" customHeight="false" outlineLevel="0" collapsed="false">
      <c r="A69" s="39"/>
      <c r="B69" s="39"/>
      <c r="C69" s="39"/>
      <c r="D69" s="39"/>
      <c r="E69" s="39"/>
      <c r="F69" s="39"/>
      <c r="G69" s="39"/>
      <c r="H69" s="39"/>
      <c r="I69" s="39"/>
    </row>
    <row r="70" customFormat="false" ht="15" hidden="false" customHeight="false" outlineLevel="0" collapsed="false">
      <c r="A70" s="39"/>
      <c r="B70" s="39"/>
      <c r="C70" s="39"/>
      <c r="D70" s="39"/>
      <c r="E70" s="39"/>
      <c r="F70" s="39"/>
      <c r="G70" s="39"/>
      <c r="H70" s="39"/>
      <c r="I70" s="39"/>
    </row>
    <row r="71" customFormat="false" ht="15" hidden="false" customHeight="false" outlineLevel="0" collapsed="false">
      <c r="A71" s="39"/>
      <c r="B71" s="39"/>
      <c r="C71" s="39"/>
      <c r="D71" s="39"/>
      <c r="E71" s="39"/>
      <c r="F71" s="39"/>
      <c r="G71" s="39"/>
      <c r="H71" s="39"/>
      <c r="I71" s="39"/>
    </row>
    <row r="72" customFormat="false" ht="15" hidden="false" customHeight="false" outlineLevel="0" collapsed="false">
      <c r="A72" s="39"/>
      <c r="B72" s="39"/>
      <c r="C72" s="39"/>
      <c r="D72" s="39"/>
      <c r="E72" s="39"/>
      <c r="F72" s="39"/>
      <c r="G72" s="39"/>
      <c r="H72" s="39"/>
      <c r="I72" s="39"/>
    </row>
    <row r="73" customFormat="false" ht="15" hidden="false" customHeight="false" outlineLevel="0" collapsed="false">
      <c r="A73" s="39"/>
      <c r="B73" s="39"/>
      <c r="C73" s="39"/>
      <c r="D73" s="39"/>
      <c r="E73" s="39"/>
      <c r="F73" s="39"/>
      <c r="G73" s="39"/>
      <c r="H73" s="39"/>
      <c r="I73" s="39"/>
    </row>
    <row r="74" customFormat="false" ht="15" hidden="false" customHeight="false" outlineLevel="0" collapsed="false">
      <c r="A74" s="39"/>
      <c r="B74" s="39"/>
      <c r="C74" s="39"/>
      <c r="D74" s="39"/>
      <c r="E74" s="39"/>
      <c r="F74" s="39"/>
      <c r="G74" s="39"/>
      <c r="H74" s="39"/>
      <c r="I74" s="39"/>
    </row>
    <row r="75" customFormat="false" ht="15" hidden="false" customHeight="false" outlineLevel="0" collapsed="false">
      <c r="A75" s="39"/>
      <c r="B75" s="39"/>
      <c r="C75" s="39"/>
      <c r="D75" s="39"/>
      <c r="E75" s="39"/>
      <c r="F75" s="39"/>
      <c r="G75" s="39"/>
      <c r="H75" s="39"/>
      <c r="I75" s="39"/>
    </row>
    <row r="76" customFormat="false" ht="15" hidden="false" customHeight="false" outlineLevel="0" collapsed="false">
      <c r="A76" s="39"/>
      <c r="B76" s="39"/>
      <c r="C76" s="39"/>
      <c r="D76" s="39"/>
      <c r="E76" s="39"/>
      <c r="F76" s="39"/>
      <c r="G76" s="39"/>
      <c r="H76" s="39"/>
      <c r="I76" s="39"/>
    </row>
    <row r="77" customFormat="false" ht="15" hidden="false" customHeight="false" outlineLevel="0" collapsed="false">
      <c r="A77" s="39"/>
      <c r="B77" s="39"/>
      <c r="C77" s="39"/>
      <c r="D77" s="39"/>
      <c r="E77" s="39"/>
      <c r="F77" s="39"/>
      <c r="G77" s="39"/>
      <c r="H77" s="39"/>
      <c r="I77" s="39"/>
    </row>
    <row r="78" customFormat="false" ht="15" hidden="false" customHeight="false" outlineLevel="0" collapsed="false">
      <c r="A78" s="39"/>
      <c r="B78" s="39"/>
      <c r="C78" s="39"/>
      <c r="D78" s="39"/>
      <c r="E78" s="39"/>
      <c r="F78" s="39"/>
      <c r="G78" s="39"/>
      <c r="H78" s="39"/>
      <c r="I78" s="39"/>
    </row>
    <row r="79" customFormat="false" ht="15" hidden="false" customHeight="false" outlineLevel="0" collapsed="false">
      <c r="A79" s="39"/>
      <c r="B79" s="39"/>
      <c r="C79" s="39"/>
      <c r="D79" s="39"/>
      <c r="E79" s="39"/>
      <c r="F79" s="39"/>
      <c r="G79" s="39"/>
      <c r="H79" s="39"/>
      <c r="I79" s="39"/>
    </row>
    <row r="80" customFormat="false" ht="15" hidden="false" customHeight="false" outlineLevel="0" collapsed="false">
      <c r="A80" s="39"/>
      <c r="B80" s="39"/>
      <c r="C80" s="39"/>
      <c r="D80" s="39"/>
      <c r="E80" s="39"/>
      <c r="F80" s="39"/>
      <c r="G80" s="39"/>
      <c r="H80" s="39"/>
      <c r="I80" s="39"/>
    </row>
    <row r="81" customFormat="false" ht="15" hidden="false" customHeight="false" outlineLevel="0" collapsed="false">
      <c r="A81" s="39"/>
      <c r="B81" s="39"/>
      <c r="C81" s="39"/>
      <c r="D81" s="39"/>
      <c r="E81" s="39"/>
      <c r="F81" s="39"/>
      <c r="G81" s="39"/>
      <c r="H81" s="39"/>
      <c r="I81" s="39"/>
    </row>
    <row r="82" customFormat="false" ht="15" hidden="false" customHeight="false" outlineLevel="0" collapsed="false">
      <c r="A82" s="39"/>
      <c r="B82" s="39"/>
      <c r="C82" s="39"/>
      <c r="D82" s="39"/>
      <c r="E82" s="39"/>
      <c r="F82" s="39"/>
      <c r="G82" s="39"/>
      <c r="H82" s="39"/>
      <c r="I82" s="39"/>
    </row>
    <row r="83" customFormat="false" ht="15" hidden="false" customHeight="false" outlineLevel="0" collapsed="false">
      <c r="A83" s="39"/>
      <c r="B83" s="39"/>
      <c r="C83" s="39"/>
      <c r="D83" s="39"/>
      <c r="E83" s="39"/>
      <c r="F83" s="39"/>
      <c r="G83" s="39"/>
      <c r="H83" s="39"/>
      <c r="I83" s="39"/>
    </row>
    <row r="84" customFormat="false" ht="15" hidden="false" customHeight="false" outlineLevel="0" collapsed="false">
      <c r="A84" s="39"/>
      <c r="B84" s="39"/>
      <c r="C84" s="39"/>
      <c r="D84" s="39"/>
      <c r="E84" s="39"/>
      <c r="F84" s="39"/>
      <c r="G84" s="39"/>
      <c r="H84" s="39"/>
      <c r="I84" s="39"/>
    </row>
    <row r="85" customFormat="false" ht="15" hidden="false" customHeight="false" outlineLevel="0" collapsed="false">
      <c r="A85" s="39"/>
      <c r="B85" s="39"/>
      <c r="C85" s="39"/>
      <c r="D85" s="39"/>
      <c r="E85" s="39"/>
      <c r="F85" s="39"/>
      <c r="G85" s="39"/>
      <c r="H85" s="39"/>
      <c r="I85" s="39"/>
    </row>
    <row r="86" customFormat="false" ht="15" hidden="false" customHeight="false" outlineLevel="0" collapsed="false">
      <c r="A86" s="39"/>
      <c r="B86" s="39"/>
      <c r="C86" s="39"/>
      <c r="D86" s="39"/>
      <c r="E86" s="39"/>
      <c r="F86" s="39"/>
      <c r="G86" s="39"/>
      <c r="H86" s="39"/>
      <c r="I86" s="39"/>
    </row>
    <row r="87" customFormat="false" ht="15" hidden="false" customHeight="false" outlineLevel="0" collapsed="false">
      <c r="A87" s="39"/>
      <c r="B87" s="39"/>
      <c r="C87" s="39"/>
      <c r="D87" s="39"/>
      <c r="E87" s="39"/>
      <c r="F87" s="39"/>
      <c r="G87" s="39"/>
      <c r="H87" s="39"/>
      <c r="I87" s="39"/>
    </row>
    <row r="88" customFormat="false" ht="15" hidden="false" customHeight="false" outlineLevel="0" collapsed="false">
      <c r="A88" s="39"/>
      <c r="B88" s="39"/>
      <c r="C88" s="39"/>
      <c r="D88" s="39"/>
      <c r="E88" s="39"/>
      <c r="F88" s="39"/>
      <c r="G88" s="39"/>
      <c r="H88" s="39"/>
      <c r="I88" s="39"/>
    </row>
    <row r="89" customFormat="false" ht="15" hidden="false" customHeight="false" outlineLevel="0" collapsed="false">
      <c r="A89" s="39"/>
      <c r="B89" s="39"/>
      <c r="C89" s="39"/>
      <c r="D89" s="39"/>
      <c r="E89" s="39"/>
      <c r="F89" s="39"/>
      <c r="G89" s="39"/>
      <c r="H89" s="39"/>
      <c r="I89" s="39"/>
    </row>
    <row r="90" customFormat="false" ht="15" hidden="false" customHeight="false" outlineLevel="0" collapsed="false">
      <c r="A90" s="39"/>
      <c r="B90" s="39"/>
      <c r="C90" s="39"/>
      <c r="D90" s="39"/>
      <c r="E90" s="39"/>
      <c r="F90" s="39"/>
      <c r="G90" s="39"/>
      <c r="H90" s="39"/>
      <c r="I90" s="39"/>
    </row>
    <row r="91" customFormat="false" ht="15" hidden="false" customHeight="false" outlineLevel="0" collapsed="false">
      <c r="A91" s="39"/>
      <c r="B91" s="39"/>
      <c r="C91" s="39"/>
      <c r="D91" s="39"/>
      <c r="E91" s="39"/>
      <c r="F91" s="39"/>
      <c r="G91" s="39"/>
      <c r="H91" s="39"/>
      <c r="I91" s="39"/>
    </row>
    <row r="92" customFormat="false" ht="15" hidden="false" customHeight="false" outlineLevel="0" collapsed="false">
      <c r="A92" s="39"/>
      <c r="B92" s="39"/>
      <c r="C92" s="39"/>
      <c r="D92" s="39"/>
      <c r="E92" s="39"/>
      <c r="F92" s="39"/>
      <c r="G92" s="39"/>
      <c r="H92" s="39"/>
      <c r="I92" s="39"/>
    </row>
    <row r="93" customFormat="false" ht="15" hidden="false" customHeight="false" outlineLevel="0" collapsed="false">
      <c r="A93" s="39"/>
      <c r="B93" s="39"/>
      <c r="C93" s="39"/>
      <c r="D93" s="39"/>
      <c r="E93" s="39"/>
      <c r="F93" s="39"/>
      <c r="G93" s="39"/>
      <c r="H93" s="39"/>
      <c r="I93" s="39"/>
    </row>
    <row r="94" customFormat="false" ht="15" hidden="false" customHeight="false" outlineLevel="0" collapsed="false">
      <c r="A94" s="39"/>
      <c r="B94" s="39"/>
      <c r="C94" s="39"/>
      <c r="D94" s="39"/>
      <c r="E94" s="39"/>
      <c r="F94" s="39"/>
      <c r="G94" s="39"/>
      <c r="H94" s="39"/>
      <c r="I94" s="39"/>
    </row>
    <row r="95" customFormat="false" ht="15" hidden="false" customHeight="false" outlineLevel="0" collapsed="false">
      <c r="A95" s="39"/>
      <c r="B95" s="39"/>
      <c r="C95" s="39"/>
      <c r="D95" s="39"/>
      <c r="E95" s="39"/>
      <c r="F95" s="39"/>
      <c r="G95" s="39"/>
      <c r="H95" s="39"/>
      <c r="I95" s="39"/>
    </row>
    <row r="96" customFormat="false" ht="15" hidden="false" customHeight="false" outlineLevel="0" collapsed="false">
      <c r="A96" s="39"/>
      <c r="B96" s="39"/>
      <c r="C96" s="39"/>
      <c r="D96" s="39"/>
      <c r="E96" s="39"/>
      <c r="F96" s="39"/>
      <c r="G96" s="39"/>
      <c r="H96" s="39"/>
      <c r="I96" s="39"/>
    </row>
    <row r="97" customFormat="false" ht="15" hidden="false" customHeight="false" outlineLevel="0" collapsed="false">
      <c r="A97" s="39"/>
      <c r="B97" s="39"/>
      <c r="C97" s="39"/>
      <c r="D97" s="39"/>
      <c r="E97" s="39"/>
      <c r="F97" s="39"/>
      <c r="G97" s="39"/>
      <c r="H97" s="39"/>
      <c r="I97" s="39"/>
    </row>
    <row r="98" customFormat="false" ht="15" hidden="false" customHeight="false" outlineLevel="0" collapsed="false">
      <c r="A98" s="39"/>
      <c r="B98" s="39"/>
      <c r="C98" s="39"/>
      <c r="D98" s="39"/>
      <c r="E98" s="39"/>
      <c r="F98" s="39"/>
      <c r="G98" s="39"/>
      <c r="H98" s="39"/>
      <c r="I98" s="39"/>
    </row>
    <row r="99" customFormat="false" ht="15" hidden="false" customHeight="false" outlineLevel="0" collapsed="false">
      <c r="A99" s="39"/>
      <c r="B99" s="39"/>
      <c r="C99" s="39"/>
      <c r="D99" s="39"/>
      <c r="E99" s="39"/>
      <c r="F99" s="39"/>
      <c r="G99" s="39"/>
      <c r="H99" s="39"/>
      <c r="I99" s="39"/>
    </row>
    <row r="100" customFormat="false" ht="15" hidden="false" customHeight="false" outlineLevel="0" collapsed="false">
      <c r="A100" s="39"/>
      <c r="B100" s="39"/>
      <c r="C100" s="39"/>
      <c r="D100" s="39"/>
      <c r="E100" s="39"/>
      <c r="F100" s="39"/>
      <c r="G100" s="39"/>
      <c r="H100" s="39"/>
      <c r="I100" s="39"/>
    </row>
    <row r="101" customFormat="false" ht="15" hidden="false" customHeight="false" outlineLevel="0" collapsed="false">
      <c r="A101" s="39"/>
      <c r="B101" s="39"/>
      <c r="C101" s="39"/>
      <c r="D101" s="39"/>
      <c r="E101" s="39"/>
      <c r="F101" s="39"/>
      <c r="G101" s="39"/>
      <c r="H101" s="39"/>
      <c r="I101" s="39"/>
    </row>
    <row r="102" customFormat="false" ht="15" hidden="false" customHeight="false" outlineLevel="0" collapsed="false">
      <c r="A102" s="39"/>
      <c r="B102" s="39"/>
      <c r="C102" s="39"/>
      <c r="D102" s="39"/>
      <c r="E102" s="39"/>
      <c r="F102" s="39"/>
      <c r="G102" s="39"/>
      <c r="H102" s="39"/>
      <c r="I102" s="39"/>
    </row>
    <row r="103" customFormat="false" ht="15" hidden="false" customHeight="false" outlineLevel="0" collapsed="false">
      <c r="A103" s="39"/>
      <c r="B103" s="39"/>
      <c r="C103" s="39"/>
      <c r="D103" s="39"/>
      <c r="E103" s="39"/>
      <c r="F103" s="39"/>
      <c r="G103" s="39"/>
      <c r="H103" s="39"/>
      <c r="I103" s="39"/>
    </row>
    <row r="104" customFormat="false" ht="15" hidden="false" customHeight="false" outlineLevel="0" collapsed="false">
      <c r="A104" s="39"/>
      <c r="B104" s="39"/>
      <c r="C104" s="39"/>
      <c r="D104" s="39"/>
      <c r="E104" s="39"/>
      <c r="F104" s="39"/>
      <c r="G104" s="39"/>
      <c r="H104" s="39"/>
      <c r="I104" s="39"/>
    </row>
    <row r="105" customFormat="false" ht="15" hidden="false" customHeight="false" outlineLevel="0" collapsed="false">
      <c r="A105" s="39"/>
      <c r="B105" s="39"/>
      <c r="C105" s="39"/>
      <c r="D105" s="39"/>
      <c r="E105" s="39"/>
      <c r="F105" s="39"/>
      <c r="G105" s="39"/>
      <c r="H105" s="39"/>
      <c r="I105" s="39"/>
    </row>
  </sheetData>
  <mergeCells count="2">
    <mergeCell ref="A1:I1"/>
    <mergeCell ref="A2:I2"/>
  </mergeCells>
  <dataValidations count="2">
    <dataValidation allowBlank="true" errorStyle="stop" operator="between" showDropDown="false" showErrorMessage="false" showInputMessage="false" sqref="E5:E105" type="list">
      <formula1>CommMethod</formula1>
      <formula2>0</formula2>
    </dataValidation>
    <dataValidation allowBlank="true" errorStyle="stop" operator="between" showDropDown="false" showErrorMessage="false" showInputMessage="false" sqref="F5:F105" type="list">
      <formula1>CommMethod</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&amp;A&amp;R&amp;8 Powered by MSP Culture  |  v1.0  |  Page &amp;P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2BD6"/>
    <pageSetUpPr fitToPage="true"/>
  </sheetPr>
  <dimension ref="A1:I1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10"/>
    <col collapsed="false" customWidth="true" hidden="false" outlineLevel="0" max="5" min="5" style="0" width="30"/>
    <col collapsed="false" customWidth="true" hidden="false" outlineLevel="0" max="6" min="6" style="0" width="14"/>
    <col collapsed="false" customWidth="true" hidden="false" outlineLevel="0" max="8" min="7" style="0" width="12"/>
    <col collapsed="false" customWidth="true" hidden="false" outlineLevel="0" max="9" min="9" style="0" width="22"/>
  </cols>
  <sheetData>
    <row r="1" customFormat="false" ht="33.75" hidden="false" customHeight="true" outlineLevel="0" collapsed="false">
      <c r="A1" s="26" t="str">
        <f aca="false">IF(PreparedFor="","Gaps, Open Questions &amp; Action Items","Gaps, Open Questions &amp; Action Items  |  "&amp;PreparedFor)</f>
        <v>Gaps, Open Questions &amp; Action Items</v>
      </c>
      <c r="B1" s="26"/>
      <c r="C1" s="26"/>
      <c r="D1" s="26"/>
      <c r="E1" s="26"/>
      <c r="F1" s="26"/>
      <c r="G1" s="26"/>
      <c r="H1" s="26"/>
      <c r="I1" s="26"/>
    </row>
    <row r="2" customFormat="false" ht="48" hidden="false" customHeight="true" outlineLevel="0" collapsed="false">
      <c r="A2" s="27" t="s">
        <v>451</v>
      </c>
      <c r="B2" s="27"/>
      <c r="C2" s="27"/>
      <c r="D2" s="27"/>
      <c r="E2" s="27"/>
      <c r="F2" s="27"/>
      <c r="G2" s="27"/>
      <c r="H2" s="27"/>
      <c r="I2" s="27"/>
    </row>
    <row r="3" customFormat="false" ht="42" hidden="false" customHeight="true" outlineLevel="0" collapsed="false">
      <c r="A3" s="33" t="s">
        <v>452</v>
      </c>
      <c r="B3" s="33" t="s">
        <v>453</v>
      </c>
      <c r="C3" s="33" t="s">
        <v>454</v>
      </c>
      <c r="D3" s="33" t="s">
        <v>455</v>
      </c>
      <c r="E3" s="33" t="s">
        <v>456</v>
      </c>
      <c r="F3" s="33" t="s">
        <v>457</v>
      </c>
      <c r="G3" s="33" t="s">
        <v>458</v>
      </c>
      <c r="H3" s="33" t="s">
        <v>459</v>
      </c>
      <c r="I3" s="33" t="s">
        <v>177</v>
      </c>
    </row>
    <row r="4" customFormat="false" ht="66" hidden="false" customHeight="true" outlineLevel="0" collapsed="false">
      <c r="A4" s="35"/>
      <c r="B4" s="35"/>
      <c r="C4" s="35"/>
      <c r="D4" s="35"/>
      <c r="E4" s="35"/>
      <c r="F4" s="35"/>
      <c r="G4" s="35"/>
      <c r="H4" s="35"/>
      <c r="I4" s="35"/>
    </row>
    <row r="5" customFormat="false" ht="22.35" hidden="false" customHeight="false" outlineLevel="0" collapsed="false">
      <c r="A5" s="36" t="s">
        <v>460</v>
      </c>
      <c r="B5" s="36" t="s">
        <v>56</v>
      </c>
      <c r="C5" s="36" t="s">
        <v>461</v>
      </c>
      <c r="D5" s="36" t="s">
        <v>462</v>
      </c>
      <c r="E5" s="36" t="s">
        <v>463</v>
      </c>
      <c r="F5" s="36" t="s">
        <v>287</v>
      </c>
      <c r="G5" s="42"/>
      <c r="H5" s="36" t="s">
        <v>464</v>
      </c>
      <c r="I5" s="36"/>
    </row>
    <row r="6" customFormat="false" ht="15" hidden="false" customHeight="false" outlineLevel="0" collapsed="false">
      <c r="A6" s="39"/>
      <c r="B6" s="39"/>
      <c r="C6" s="39"/>
      <c r="D6" s="39"/>
      <c r="E6" s="39"/>
      <c r="F6" s="39"/>
      <c r="G6" s="43"/>
      <c r="H6" s="39"/>
      <c r="I6" s="39"/>
    </row>
    <row r="7" customFormat="false" ht="15" hidden="false" customHeight="false" outlineLevel="0" collapsed="false">
      <c r="A7" s="39"/>
      <c r="B7" s="39"/>
      <c r="C7" s="39"/>
      <c r="D7" s="39"/>
      <c r="E7" s="39"/>
      <c r="F7" s="39"/>
      <c r="G7" s="43"/>
      <c r="H7" s="39"/>
      <c r="I7" s="39"/>
    </row>
    <row r="8" customFormat="false" ht="15" hidden="false" customHeight="false" outlineLevel="0" collapsed="false">
      <c r="A8" s="39"/>
      <c r="B8" s="39"/>
      <c r="C8" s="39"/>
      <c r="D8" s="39"/>
      <c r="E8" s="39"/>
      <c r="F8" s="39"/>
      <c r="G8" s="43"/>
      <c r="H8" s="39"/>
      <c r="I8" s="39"/>
    </row>
    <row r="9" customFormat="false" ht="15" hidden="false" customHeight="false" outlineLevel="0" collapsed="false">
      <c r="A9" s="39"/>
      <c r="B9" s="39"/>
      <c r="C9" s="39"/>
      <c r="D9" s="39"/>
      <c r="E9" s="39"/>
      <c r="F9" s="39"/>
      <c r="G9" s="43"/>
      <c r="H9" s="39"/>
      <c r="I9" s="39"/>
    </row>
    <row r="10" customFormat="false" ht="15" hidden="false" customHeight="false" outlineLevel="0" collapsed="false">
      <c r="A10" s="39"/>
      <c r="B10" s="39"/>
      <c r="C10" s="39"/>
      <c r="D10" s="39"/>
      <c r="E10" s="39"/>
      <c r="F10" s="39"/>
      <c r="G10" s="43"/>
      <c r="H10" s="39"/>
      <c r="I10" s="39"/>
    </row>
    <row r="11" customFormat="false" ht="15" hidden="false" customHeight="false" outlineLevel="0" collapsed="false">
      <c r="A11" s="39"/>
      <c r="B11" s="39"/>
      <c r="C11" s="39"/>
      <c r="D11" s="39"/>
      <c r="E11" s="39"/>
      <c r="F11" s="39"/>
      <c r="G11" s="43"/>
      <c r="H11" s="39"/>
      <c r="I11" s="39"/>
    </row>
    <row r="12" customFormat="false" ht="15" hidden="false" customHeight="false" outlineLevel="0" collapsed="false">
      <c r="A12" s="39"/>
      <c r="B12" s="39"/>
      <c r="C12" s="39"/>
      <c r="D12" s="39"/>
      <c r="E12" s="39"/>
      <c r="F12" s="39"/>
      <c r="G12" s="43"/>
      <c r="H12" s="39"/>
      <c r="I12" s="39"/>
    </row>
    <row r="13" customFormat="false" ht="15" hidden="false" customHeight="false" outlineLevel="0" collapsed="false">
      <c r="A13" s="39"/>
      <c r="B13" s="39"/>
      <c r="C13" s="39"/>
      <c r="D13" s="39"/>
      <c r="E13" s="39"/>
      <c r="F13" s="39"/>
      <c r="G13" s="43"/>
      <c r="H13" s="39"/>
      <c r="I13" s="39"/>
    </row>
    <row r="14" customFormat="false" ht="15" hidden="false" customHeight="false" outlineLevel="0" collapsed="false">
      <c r="A14" s="39"/>
      <c r="B14" s="39"/>
      <c r="C14" s="39"/>
      <c r="D14" s="39"/>
      <c r="E14" s="39"/>
      <c r="F14" s="39"/>
      <c r="G14" s="43"/>
      <c r="H14" s="39"/>
      <c r="I14" s="39"/>
    </row>
    <row r="15" customFormat="false" ht="15" hidden="false" customHeight="false" outlineLevel="0" collapsed="false">
      <c r="A15" s="39"/>
      <c r="B15" s="39"/>
      <c r="C15" s="39"/>
      <c r="D15" s="39"/>
      <c r="E15" s="39"/>
      <c r="F15" s="39"/>
      <c r="G15" s="43"/>
      <c r="H15" s="39"/>
      <c r="I15" s="39"/>
    </row>
    <row r="16" customFormat="false" ht="15" hidden="false" customHeight="false" outlineLevel="0" collapsed="false">
      <c r="A16" s="39"/>
      <c r="B16" s="39"/>
      <c r="C16" s="39"/>
      <c r="D16" s="39"/>
      <c r="E16" s="39"/>
      <c r="F16" s="39"/>
      <c r="G16" s="43"/>
      <c r="H16" s="39"/>
      <c r="I16" s="39"/>
    </row>
    <row r="17" customFormat="false" ht="15" hidden="false" customHeight="false" outlineLevel="0" collapsed="false">
      <c r="A17" s="39"/>
      <c r="B17" s="39"/>
      <c r="C17" s="39"/>
      <c r="D17" s="39"/>
      <c r="E17" s="39"/>
      <c r="F17" s="39"/>
      <c r="G17" s="43"/>
      <c r="H17" s="39"/>
      <c r="I17" s="39"/>
    </row>
    <row r="18" customFormat="false" ht="15" hidden="false" customHeight="false" outlineLevel="0" collapsed="false">
      <c r="A18" s="39"/>
      <c r="B18" s="39"/>
      <c r="C18" s="39"/>
      <c r="D18" s="39"/>
      <c r="E18" s="39"/>
      <c r="F18" s="39"/>
      <c r="G18" s="43"/>
      <c r="H18" s="39"/>
      <c r="I18" s="39"/>
    </row>
    <row r="19" customFormat="false" ht="15" hidden="false" customHeight="false" outlineLevel="0" collapsed="false">
      <c r="A19" s="39"/>
      <c r="B19" s="39"/>
      <c r="C19" s="39"/>
      <c r="D19" s="39"/>
      <c r="E19" s="39"/>
      <c r="F19" s="39"/>
      <c r="G19" s="43"/>
      <c r="H19" s="39"/>
      <c r="I19" s="39"/>
    </row>
    <row r="20" customFormat="false" ht="15" hidden="false" customHeight="false" outlineLevel="0" collapsed="false">
      <c r="A20" s="39"/>
      <c r="B20" s="39"/>
      <c r="C20" s="39"/>
      <c r="D20" s="39"/>
      <c r="E20" s="39"/>
      <c r="F20" s="39"/>
      <c r="G20" s="43"/>
      <c r="H20" s="39"/>
      <c r="I20" s="39"/>
    </row>
    <row r="21" customFormat="false" ht="15" hidden="false" customHeight="false" outlineLevel="0" collapsed="false">
      <c r="A21" s="39"/>
      <c r="B21" s="39"/>
      <c r="C21" s="39"/>
      <c r="D21" s="39"/>
      <c r="E21" s="39"/>
      <c r="F21" s="39"/>
      <c r="G21" s="43"/>
      <c r="H21" s="39"/>
      <c r="I21" s="39"/>
    </row>
    <row r="22" customFormat="false" ht="15" hidden="false" customHeight="false" outlineLevel="0" collapsed="false">
      <c r="A22" s="39"/>
      <c r="B22" s="39"/>
      <c r="C22" s="39"/>
      <c r="D22" s="39"/>
      <c r="E22" s="39"/>
      <c r="F22" s="39"/>
      <c r="G22" s="43"/>
      <c r="H22" s="39"/>
      <c r="I22" s="39"/>
    </row>
    <row r="23" customFormat="false" ht="15" hidden="false" customHeight="false" outlineLevel="0" collapsed="false">
      <c r="A23" s="39"/>
      <c r="B23" s="39"/>
      <c r="C23" s="39"/>
      <c r="D23" s="39"/>
      <c r="E23" s="39"/>
      <c r="F23" s="39"/>
      <c r="G23" s="43"/>
      <c r="H23" s="39"/>
      <c r="I23" s="39"/>
    </row>
    <row r="24" customFormat="false" ht="15" hidden="false" customHeight="false" outlineLevel="0" collapsed="false">
      <c r="A24" s="39"/>
      <c r="B24" s="39"/>
      <c r="C24" s="39"/>
      <c r="D24" s="39"/>
      <c r="E24" s="39"/>
      <c r="F24" s="39"/>
      <c r="G24" s="43"/>
      <c r="H24" s="39"/>
      <c r="I24" s="39"/>
    </row>
    <row r="25" customFormat="false" ht="15" hidden="false" customHeight="false" outlineLevel="0" collapsed="false">
      <c r="A25" s="39"/>
      <c r="B25" s="39"/>
      <c r="C25" s="39"/>
      <c r="D25" s="39"/>
      <c r="E25" s="39"/>
      <c r="F25" s="39"/>
      <c r="G25" s="43"/>
      <c r="H25" s="39"/>
      <c r="I25" s="39"/>
    </row>
    <row r="26" customFormat="false" ht="15" hidden="false" customHeight="false" outlineLevel="0" collapsed="false">
      <c r="A26" s="39"/>
      <c r="B26" s="39"/>
      <c r="C26" s="39"/>
      <c r="D26" s="39"/>
      <c r="E26" s="39"/>
      <c r="F26" s="39"/>
      <c r="G26" s="43"/>
      <c r="H26" s="39"/>
      <c r="I26" s="39"/>
    </row>
    <row r="27" customFormat="false" ht="15" hidden="false" customHeight="false" outlineLevel="0" collapsed="false">
      <c r="A27" s="39"/>
      <c r="B27" s="39"/>
      <c r="C27" s="39"/>
      <c r="D27" s="39"/>
      <c r="E27" s="39"/>
      <c r="F27" s="39"/>
      <c r="G27" s="43"/>
      <c r="H27" s="39"/>
      <c r="I27" s="39"/>
    </row>
    <row r="28" customFormat="false" ht="15" hidden="false" customHeight="false" outlineLevel="0" collapsed="false">
      <c r="A28" s="39"/>
      <c r="B28" s="39"/>
      <c r="C28" s="39"/>
      <c r="D28" s="39"/>
      <c r="E28" s="39"/>
      <c r="F28" s="39"/>
      <c r="G28" s="43"/>
      <c r="H28" s="39"/>
      <c r="I28" s="39"/>
    </row>
    <row r="29" customFormat="false" ht="15" hidden="false" customHeight="false" outlineLevel="0" collapsed="false">
      <c r="A29" s="39"/>
      <c r="B29" s="39"/>
      <c r="C29" s="39"/>
      <c r="D29" s="39"/>
      <c r="E29" s="39"/>
      <c r="F29" s="39"/>
      <c r="G29" s="43"/>
      <c r="H29" s="39"/>
      <c r="I29" s="39"/>
    </row>
    <row r="30" customFormat="false" ht="15" hidden="false" customHeight="false" outlineLevel="0" collapsed="false">
      <c r="A30" s="39"/>
      <c r="B30" s="39"/>
      <c r="C30" s="39"/>
      <c r="D30" s="39"/>
      <c r="E30" s="39"/>
      <c r="F30" s="39"/>
      <c r="G30" s="43"/>
      <c r="H30" s="39"/>
      <c r="I30" s="39"/>
    </row>
    <row r="31" customFormat="false" ht="15" hidden="false" customHeight="false" outlineLevel="0" collapsed="false">
      <c r="A31" s="39"/>
      <c r="B31" s="39"/>
      <c r="C31" s="39"/>
      <c r="D31" s="39"/>
      <c r="E31" s="39"/>
      <c r="F31" s="39"/>
      <c r="G31" s="43"/>
      <c r="H31" s="39"/>
      <c r="I31" s="39"/>
    </row>
    <row r="32" customFormat="false" ht="15" hidden="false" customHeight="false" outlineLevel="0" collapsed="false">
      <c r="A32" s="39"/>
      <c r="B32" s="39"/>
      <c r="C32" s="39"/>
      <c r="D32" s="39"/>
      <c r="E32" s="39"/>
      <c r="F32" s="39"/>
      <c r="G32" s="43"/>
      <c r="H32" s="39"/>
      <c r="I32" s="39"/>
    </row>
    <row r="33" customFormat="false" ht="15" hidden="false" customHeight="false" outlineLevel="0" collapsed="false">
      <c r="A33" s="39"/>
      <c r="B33" s="39"/>
      <c r="C33" s="39"/>
      <c r="D33" s="39"/>
      <c r="E33" s="39"/>
      <c r="F33" s="39"/>
      <c r="G33" s="43"/>
      <c r="H33" s="39"/>
      <c r="I33" s="39"/>
    </row>
    <row r="34" customFormat="false" ht="15" hidden="false" customHeight="false" outlineLevel="0" collapsed="false">
      <c r="A34" s="39"/>
      <c r="B34" s="39"/>
      <c r="C34" s="39"/>
      <c r="D34" s="39"/>
      <c r="E34" s="39"/>
      <c r="F34" s="39"/>
      <c r="G34" s="43"/>
      <c r="H34" s="39"/>
      <c r="I34" s="39"/>
    </row>
    <row r="35" customFormat="false" ht="15" hidden="false" customHeight="false" outlineLevel="0" collapsed="false">
      <c r="A35" s="39"/>
      <c r="B35" s="39"/>
      <c r="C35" s="39"/>
      <c r="D35" s="39"/>
      <c r="E35" s="39"/>
      <c r="F35" s="39"/>
      <c r="G35" s="43"/>
      <c r="H35" s="39"/>
      <c r="I35" s="39"/>
    </row>
    <row r="36" customFormat="false" ht="15" hidden="false" customHeight="false" outlineLevel="0" collapsed="false">
      <c r="A36" s="39"/>
      <c r="B36" s="39"/>
      <c r="C36" s="39"/>
      <c r="D36" s="39"/>
      <c r="E36" s="39"/>
      <c r="F36" s="39"/>
      <c r="G36" s="43"/>
      <c r="H36" s="39"/>
      <c r="I36" s="39"/>
    </row>
    <row r="37" customFormat="false" ht="15" hidden="false" customHeight="false" outlineLevel="0" collapsed="false">
      <c r="A37" s="39"/>
      <c r="B37" s="39"/>
      <c r="C37" s="39"/>
      <c r="D37" s="39"/>
      <c r="E37" s="39"/>
      <c r="F37" s="39"/>
      <c r="G37" s="43"/>
      <c r="H37" s="39"/>
      <c r="I37" s="39"/>
    </row>
    <row r="38" customFormat="false" ht="15" hidden="false" customHeight="false" outlineLevel="0" collapsed="false">
      <c r="A38" s="39"/>
      <c r="B38" s="39"/>
      <c r="C38" s="39"/>
      <c r="D38" s="39"/>
      <c r="E38" s="39"/>
      <c r="F38" s="39"/>
      <c r="G38" s="43"/>
      <c r="H38" s="39"/>
      <c r="I38" s="39"/>
    </row>
    <row r="39" customFormat="false" ht="15" hidden="false" customHeight="false" outlineLevel="0" collapsed="false">
      <c r="A39" s="39"/>
      <c r="B39" s="39"/>
      <c r="C39" s="39"/>
      <c r="D39" s="39"/>
      <c r="E39" s="39"/>
      <c r="F39" s="39"/>
      <c r="G39" s="43"/>
      <c r="H39" s="39"/>
      <c r="I39" s="39"/>
    </row>
    <row r="40" customFormat="false" ht="15" hidden="false" customHeight="false" outlineLevel="0" collapsed="false">
      <c r="A40" s="39"/>
      <c r="B40" s="39"/>
      <c r="C40" s="39"/>
      <c r="D40" s="39"/>
      <c r="E40" s="39"/>
      <c r="F40" s="39"/>
      <c r="G40" s="43"/>
      <c r="H40" s="39"/>
      <c r="I40" s="39"/>
    </row>
    <row r="41" customFormat="false" ht="15" hidden="false" customHeight="false" outlineLevel="0" collapsed="false">
      <c r="A41" s="39"/>
      <c r="B41" s="39"/>
      <c r="C41" s="39"/>
      <c r="D41" s="39"/>
      <c r="E41" s="39"/>
      <c r="F41" s="39"/>
      <c r="G41" s="43"/>
      <c r="H41" s="39"/>
      <c r="I41" s="39"/>
    </row>
    <row r="42" customFormat="false" ht="15" hidden="false" customHeight="false" outlineLevel="0" collapsed="false">
      <c r="A42" s="39"/>
      <c r="B42" s="39"/>
      <c r="C42" s="39"/>
      <c r="D42" s="39"/>
      <c r="E42" s="39"/>
      <c r="F42" s="39"/>
      <c r="G42" s="43"/>
      <c r="H42" s="39"/>
      <c r="I42" s="39"/>
    </row>
    <row r="43" customFormat="false" ht="15" hidden="false" customHeight="false" outlineLevel="0" collapsed="false">
      <c r="A43" s="39"/>
      <c r="B43" s="39"/>
      <c r="C43" s="39"/>
      <c r="D43" s="39"/>
      <c r="E43" s="39"/>
      <c r="F43" s="39"/>
      <c r="G43" s="43"/>
      <c r="H43" s="39"/>
      <c r="I43" s="39"/>
    </row>
    <row r="44" customFormat="false" ht="15" hidden="false" customHeight="false" outlineLevel="0" collapsed="false">
      <c r="A44" s="39"/>
      <c r="B44" s="39"/>
      <c r="C44" s="39"/>
      <c r="D44" s="39"/>
      <c r="E44" s="39"/>
      <c r="F44" s="39"/>
      <c r="G44" s="43"/>
      <c r="H44" s="39"/>
      <c r="I44" s="39"/>
    </row>
    <row r="45" customFormat="false" ht="15" hidden="false" customHeight="false" outlineLevel="0" collapsed="false">
      <c r="A45" s="39"/>
      <c r="B45" s="39"/>
      <c r="C45" s="39"/>
      <c r="D45" s="39"/>
      <c r="E45" s="39"/>
      <c r="F45" s="39"/>
      <c r="G45" s="43"/>
      <c r="H45" s="39"/>
      <c r="I45" s="39"/>
    </row>
    <row r="46" customFormat="false" ht="15" hidden="false" customHeight="false" outlineLevel="0" collapsed="false">
      <c r="A46" s="39"/>
      <c r="B46" s="39"/>
      <c r="C46" s="39"/>
      <c r="D46" s="39"/>
      <c r="E46" s="39"/>
      <c r="F46" s="39"/>
      <c r="G46" s="43"/>
      <c r="H46" s="39"/>
      <c r="I46" s="39"/>
    </row>
    <row r="47" customFormat="false" ht="15" hidden="false" customHeight="false" outlineLevel="0" collapsed="false">
      <c r="A47" s="39"/>
      <c r="B47" s="39"/>
      <c r="C47" s="39"/>
      <c r="D47" s="39"/>
      <c r="E47" s="39"/>
      <c r="F47" s="39"/>
      <c r="G47" s="43"/>
      <c r="H47" s="39"/>
      <c r="I47" s="39"/>
    </row>
    <row r="48" customFormat="false" ht="15" hidden="false" customHeight="false" outlineLevel="0" collapsed="false">
      <c r="A48" s="39"/>
      <c r="B48" s="39"/>
      <c r="C48" s="39"/>
      <c r="D48" s="39"/>
      <c r="E48" s="39"/>
      <c r="F48" s="39"/>
      <c r="G48" s="43"/>
      <c r="H48" s="39"/>
      <c r="I48" s="39"/>
    </row>
    <row r="49" customFormat="false" ht="15" hidden="false" customHeight="false" outlineLevel="0" collapsed="false">
      <c r="A49" s="39"/>
      <c r="B49" s="39"/>
      <c r="C49" s="39"/>
      <c r="D49" s="39"/>
      <c r="E49" s="39"/>
      <c r="F49" s="39"/>
      <c r="G49" s="43"/>
      <c r="H49" s="39"/>
      <c r="I49" s="39"/>
    </row>
    <row r="50" customFormat="false" ht="15" hidden="false" customHeight="false" outlineLevel="0" collapsed="false">
      <c r="A50" s="39"/>
      <c r="B50" s="39"/>
      <c r="C50" s="39"/>
      <c r="D50" s="39"/>
      <c r="E50" s="39"/>
      <c r="F50" s="39"/>
      <c r="G50" s="43"/>
      <c r="H50" s="39"/>
      <c r="I50" s="39"/>
    </row>
    <row r="51" customFormat="false" ht="15" hidden="false" customHeight="false" outlineLevel="0" collapsed="false">
      <c r="A51" s="39"/>
      <c r="B51" s="39"/>
      <c r="C51" s="39"/>
      <c r="D51" s="39"/>
      <c r="E51" s="39"/>
      <c r="F51" s="39"/>
      <c r="G51" s="43"/>
      <c r="H51" s="39"/>
      <c r="I51" s="39"/>
    </row>
    <row r="52" customFormat="false" ht="15" hidden="false" customHeight="false" outlineLevel="0" collapsed="false">
      <c r="A52" s="39"/>
      <c r="B52" s="39"/>
      <c r="C52" s="39"/>
      <c r="D52" s="39"/>
      <c r="E52" s="39"/>
      <c r="F52" s="39"/>
      <c r="G52" s="43"/>
      <c r="H52" s="39"/>
      <c r="I52" s="39"/>
    </row>
    <row r="53" customFormat="false" ht="15" hidden="false" customHeight="false" outlineLevel="0" collapsed="false">
      <c r="A53" s="39"/>
      <c r="B53" s="39"/>
      <c r="C53" s="39"/>
      <c r="D53" s="39"/>
      <c r="E53" s="39"/>
      <c r="F53" s="39"/>
      <c r="G53" s="43"/>
      <c r="H53" s="39"/>
      <c r="I53" s="39"/>
    </row>
    <row r="54" customFormat="false" ht="15" hidden="false" customHeight="false" outlineLevel="0" collapsed="false">
      <c r="A54" s="39"/>
      <c r="B54" s="39"/>
      <c r="C54" s="39"/>
      <c r="D54" s="39"/>
      <c r="E54" s="39"/>
      <c r="F54" s="39"/>
      <c r="G54" s="43"/>
      <c r="H54" s="39"/>
      <c r="I54" s="39"/>
    </row>
    <row r="55" customFormat="false" ht="15" hidden="false" customHeight="false" outlineLevel="0" collapsed="false">
      <c r="A55" s="39"/>
      <c r="B55" s="39"/>
      <c r="C55" s="39"/>
      <c r="D55" s="39"/>
      <c r="E55" s="39"/>
      <c r="F55" s="39"/>
      <c r="G55" s="43"/>
      <c r="H55" s="39"/>
      <c r="I55" s="39"/>
    </row>
    <row r="56" customFormat="false" ht="15" hidden="false" customHeight="false" outlineLevel="0" collapsed="false">
      <c r="A56" s="39"/>
      <c r="B56" s="39"/>
      <c r="C56" s="39"/>
      <c r="D56" s="39"/>
      <c r="E56" s="39"/>
      <c r="F56" s="39"/>
      <c r="G56" s="43"/>
      <c r="H56" s="39"/>
      <c r="I56" s="39"/>
    </row>
    <row r="57" customFormat="false" ht="15" hidden="false" customHeight="false" outlineLevel="0" collapsed="false">
      <c r="A57" s="39"/>
      <c r="B57" s="39"/>
      <c r="C57" s="39"/>
      <c r="D57" s="39"/>
      <c r="E57" s="39"/>
      <c r="F57" s="39"/>
      <c r="G57" s="43"/>
      <c r="H57" s="39"/>
      <c r="I57" s="39"/>
    </row>
    <row r="58" customFormat="false" ht="15" hidden="false" customHeight="false" outlineLevel="0" collapsed="false">
      <c r="A58" s="39"/>
      <c r="B58" s="39"/>
      <c r="C58" s="39"/>
      <c r="D58" s="39"/>
      <c r="E58" s="39"/>
      <c r="F58" s="39"/>
      <c r="G58" s="43"/>
      <c r="H58" s="39"/>
      <c r="I58" s="39"/>
    </row>
    <row r="59" customFormat="false" ht="15" hidden="false" customHeight="false" outlineLevel="0" collapsed="false">
      <c r="A59" s="39"/>
      <c r="B59" s="39"/>
      <c r="C59" s="39"/>
      <c r="D59" s="39"/>
      <c r="E59" s="39"/>
      <c r="F59" s="39"/>
      <c r="G59" s="43"/>
      <c r="H59" s="39"/>
      <c r="I59" s="39"/>
    </row>
    <row r="60" customFormat="false" ht="15" hidden="false" customHeight="false" outlineLevel="0" collapsed="false">
      <c r="A60" s="39"/>
      <c r="B60" s="39"/>
      <c r="C60" s="39"/>
      <c r="D60" s="39"/>
      <c r="E60" s="39"/>
      <c r="F60" s="39"/>
      <c r="G60" s="43"/>
      <c r="H60" s="39"/>
      <c r="I60" s="39"/>
    </row>
    <row r="61" customFormat="false" ht="15" hidden="false" customHeight="false" outlineLevel="0" collapsed="false">
      <c r="A61" s="39"/>
      <c r="B61" s="39"/>
      <c r="C61" s="39"/>
      <c r="D61" s="39"/>
      <c r="E61" s="39"/>
      <c r="F61" s="39"/>
      <c r="G61" s="43"/>
      <c r="H61" s="39"/>
      <c r="I61" s="39"/>
    </row>
    <row r="62" customFormat="false" ht="15" hidden="false" customHeight="false" outlineLevel="0" collapsed="false">
      <c r="A62" s="39"/>
      <c r="B62" s="39"/>
      <c r="C62" s="39"/>
      <c r="D62" s="39"/>
      <c r="E62" s="39"/>
      <c r="F62" s="39"/>
      <c r="G62" s="43"/>
      <c r="H62" s="39"/>
      <c r="I62" s="39"/>
    </row>
    <row r="63" customFormat="false" ht="15" hidden="false" customHeight="false" outlineLevel="0" collapsed="false">
      <c r="A63" s="39"/>
      <c r="B63" s="39"/>
      <c r="C63" s="39"/>
      <c r="D63" s="39"/>
      <c r="E63" s="39"/>
      <c r="F63" s="39"/>
      <c r="G63" s="43"/>
      <c r="H63" s="39"/>
      <c r="I63" s="39"/>
    </row>
    <row r="64" customFormat="false" ht="15" hidden="false" customHeight="false" outlineLevel="0" collapsed="false">
      <c r="A64" s="39"/>
      <c r="B64" s="39"/>
      <c r="C64" s="39"/>
      <c r="D64" s="39"/>
      <c r="E64" s="39"/>
      <c r="F64" s="39"/>
      <c r="G64" s="43"/>
      <c r="H64" s="39"/>
      <c r="I64" s="39"/>
    </row>
    <row r="65" customFormat="false" ht="15" hidden="false" customHeight="false" outlineLevel="0" collapsed="false">
      <c r="A65" s="39"/>
      <c r="B65" s="39"/>
      <c r="C65" s="39"/>
      <c r="D65" s="39"/>
      <c r="E65" s="39"/>
      <c r="F65" s="39"/>
      <c r="G65" s="43"/>
      <c r="H65" s="39"/>
      <c r="I65" s="39"/>
    </row>
    <row r="66" customFormat="false" ht="15" hidden="false" customHeight="false" outlineLevel="0" collapsed="false">
      <c r="A66" s="39"/>
      <c r="B66" s="39"/>
      <c r="C66" s="39"/>
      <c r="D66" s="39"/>
      <c r="E66" s="39"/>
      <c r="F66" s="39"/>
      <c r="G66" s="43"/>
      <c r="H66" s="39"/>
      <c r="I66" s="39"/>
    </row>
    <row r="67" customFormat="false" ht="15" hidden="false" customHeight="false" outlineLevel="0" collapsed="false">
      <c r="A67" s="39"/>
      <c r="B67" s="39"/>
      <c r="C67" s="39"/>
      <c r="D67" s="39"/>
      <c r="E67" s="39"/>
      <c r="F67" s="39"/>
      <c r="G67" s="43"/>
      <c r="H67" s="39"/>
      <c r="I67" s="39"/>
    </row>
    <row r="68" customFormat="false" ht="15" hidden="false" customHeight="false" outlineLevel="0" collapsed="false">
      <c r="A68" s="39"/>
      <c r="B68" s="39"/>
      <c r="C68" s="39"/>
      <c r="D68" s="39"/>
      <c r="E68" s="39"/>
      <c r="F68" s="39"/>
      <c r="G68" s="43"/>
      <c r="H68" s="39"/>
      <c r="I68" s="39"/>
    </row>
    <row r="69" customFormat="false" ht="15" hidden="false" customHeight="false" outlineLevel="0" collapsed="false">
      <c r="A69" s="39"/>
      <c r="B69" s="39"/>
      <c r="C69" s="39"/>
      <c r="D69" s="39"/>
      <c r="E69" s="39"/>
      <c r="F69" s="39"/>
      <c r="G69" s="43"/>
      <c r="H69" s="39"/>
      <c r="I69" s="39"/>
    </row>
    <row r="70" customFormat="false" ht="15" hidden="false" customHeight="false" outlineLevel="0" collapsed="false">
      <c r="A70" s="39"/>
      <c r="B70" s="39"/>
      <c r="C70" s="39"/>
      <c r="D70" s="39"/>
      <c r="E70" s="39"/>
      <c r="F70" s="39"/>
      <c r="G70" s="43"/>
      <c r="H70" s="39"/>
      <c r="I70" s="39"/>
    </row>
    <row r="71" customFormat="false" ht="15" hidden="false" customHeight="false" outlineLevel="0" collapsed="false">
      <c r="A71" s="39"/>
      <c r="B71" s="39"/>
      <c r="C71" s="39"/>
      <c r="D71" s="39"/>
      <c r="E71" s="39"/>
      <c r="F71" s="39"/>
      <c r="G71" s="43"/>
      <c r="H71" s="39"/>
      <c r="I71" s="39"/>
    </row>
    <row r="72" customFormat="false" ht="15" hidden="false" customHeight="false" outlineLevel="0" collapsed="false">
      <c r="A72" s="39"/>
      <c r="B72" s="39"/>
      <c r="C72" s="39"/>
      <c r="D72" s="39"/>
      <c r="E72" s="39"/>
      <c r="F72" s="39"/>
      <c r="G72" s="43"/>
      <c r="H72" s="39"/>
      <c r="I72" s="39"/>
    </row>
    <row r="73" customFormat="false" ht="15" hidden="false" customHeight="false" outlineLevel="0" collapsed="false">
      <c r="A73" s="39"/>
      <c r="B73" s="39"/>
      <c r="C73" s="39"/>
      <c r="D73" s="39"/>
      <c r="E73" s="39"/>
      <c r="F73" s="39"/>
      <c r="G73" s="43"/>
      <c r="H73" s="39"/>
      <c r="I73" s="39"/>
    </row>
    <row r="74" customFormat="false" ht="15" hidden="false" customHeight="false" outlineLevel="0" collapsed="false">
      <c r="A74" s="39"/>
      <c r="B74" s="39"/>
      <c r="C74" s="39"/>
      <c r="D74" s="39"/>
      <c r="E74" s="39"/>
      <c r="F74" s="39"/>
      <c r="G74" s="43"/>
      <c r="H74" s="39"/>
      <c r="I74" s="39"/>
    </row>
    <row r="75" customFormat="false" ht="15" hidden="false" customHeight="false" outlineLevel="0" collapsed="false">
      <c r="A75" s="39"/>
      <c r="B75" s="39"/>
      <c r="C75" s="39"/>
      <c r="D75" s="39"/>
      <c r="E75" s="39"/>
      <c r="F75" s="39"/>
      <c r="G75" s="43"/>
      <c r="H75" s="39"/>
      <c r="I75" s="39"/>
    </row>
    <row r="76" customFormat="false" ht="15" hidden="false" customHeight="false" outlineLevel="0" collapsed="false">
      <c r="A76" s="39"/>
      <c r="B76" s="39"/>
      <c r="C76" s="39"/>
      <c r="D76" s="39"/>
      <c r="E76" s="39"/>
      <c r="F76" s="39"/>
      <c r="G76" s="43"/>
      <c r="H76" s="39"/>
      <c r="I76" s="39"/>
    </row>
    <row r="77" customFormat="false" ht="15" hidden="false" customHeight="false" outlineLevel="0" collapsed="false">
      <c r="A77" s="39"/>
      <c r="B77" s="39"/>
      <c r="C77" s="39"/>
      <c r="D77" s="39"/>
      <c r="E77" s="39"/>
      <c r="F77" s="39"/>
      <c r="G77" s="43"/>
      <c r="H77" s="39"/>
      <c r="I77" s="39"/>
    </row>
    <row r="78" customFormat="false" ht="15" hidden="false" customHeight="false" outlineLevel="0" collapsed="false">
      <c r="A78" s="39"/>
      <c r="B78" s="39"/>
      <c r="C78" s="39"/>
      <c r="D78" s="39"/>
      <c r="E78" s="39"/>
      <c r="F78" s="39"/>
      <c r="G78" s="43"/>
      <c r="H78" s="39"/>
      <c r="I78" s="39"/>
    </row>
    <row r="79" customFormat="false" ht="15" hidden="false" customHeight="false" outlineLevel="0" collapsed="false">
      <c r="A79" s="39"/>
      <c r="B79" s="39"/>
      <c r="C79" s="39"/>
      <c r="D79" s="39"/>
      <c r="E79" s="39"/>
      <c r="F79" s="39"/>
      <c r="G79" s="43"/>
      <c r="H79" s="39"/>
      <c r="I79" s="39"/>
    </row>
    <row r="80" customFormat="false" ht="15" hidden="false" customHeight="false" outlineLevel="0" collapsed="false">
      <c r="A80" s="39"/>
      <c r="B80" s="39"/>
      <c r="C80" s="39"/>
      <c r="D80" s="39"/>
      <c r="E80" s="39"/>
      <c r="F80" s="39"/>
      <c r="G80" s="43"/>
      <c r="H80" s="39"/>
      <c r="I80" s="39"/>
    </row>
    <row r="81" customFormat="false" ht="15" hidden="false" customHeight="false" outlineLevel="0" collapsed="false">
      <c r="A81" s="39"/>
      <c r="B81" s="39"/>
      <c r="C81" s="39"/>
      <c r="D81" s="39"/>
      <c r="E81" s="39"/>
      <c r="F81" s="39"/>
      <c r="G81" s="43"/>
      <c r="H81" s="39"/>
      <c r="I81" s="39"/>
    </row>
    <row r="82" customFormat="false" ht="15" hidden="false" customHeight="false" outlineLevel="0" collapsed="false">
      <c r="A82" s="39"/>
      <c r="B82" s="39"/>
      <c r="C82" s="39"/>
      <c r="D82" s="39"/>
      <c r="E82" s="39"/>
      <c r="F82" s="39"/>
      <c r="G82" s="43"/>
      <c r="H82" s="39"/>
      <c r="I82" s="39"/>
    </row>
    <row r="83" customFormat="false" ht="15" hidden="false" customHeight="false" outlineLevel="0" collapsed="false">
      <c r="A83" s="39"/>
      <c r="B83" s="39"/>
      <c r="C83" s="39"/>
      <c r="D83" s="39"/>
      <c r="E83" s="39"/>
      <c r="F83" s="39"/>
      <c r="G83" s="43"/>
      <c r="H83" s="39"/>
      <c r="I83" s="39"/>
    </row>
    <row r="84" customFormat="false" ht="15" hidden="false" customHeight="false" outlineLevel="0" collapsed="false">
      <c r="A84" s="39"/>
      <c r="B84" s="39"/>
      <c r="C84" s="39"/>
      <c r="D84" s="39"/>
      <c r="E84" s="39"/>
      <c r="F84" s="39"/>
      <c r="G84" s="43"/>
      <c r="H84" s="39"/>
      <c r="I84" s="39"/>
    </row>
    <row r="85" customFormat="false" ht="15" hidden="false" customHeight="false" outlineLevel="0" collapsed="false">
      <c r="A85" s="39"/>
      <c r="B85" s="39"/>
      <c r="C85" s="39"/>
      <c r="D85" s="39"/>
      <c r="E85" s="39"/>
      <c r="F85" s="39"/>
      <c r="G85" s="43"/>
      <c r="H85" s="39"/>
      <c r="I85" s="39"/>
    </row>
    <row r="86" customFormat="false" ht="15" hidden="false" customHeight="false" outlineLevel="0" collapsed="false">
      <c r="A86" s="39"/>
      <c r="B86" s="39"/>
      <c r="C86" s="39"/>
      <c r="D86" s="39"/>
      <c r="E86" s="39"/>
      <c r="F86" s="39"/>
      <c r="G86" s="43"/>
      <c r="H86" s="39"/>
      <c r="I86" s="39"/>
    </row>
    <row r="87" customFormat="false" ht="15" hidden="false" customHeight="false" outlineLevel="0" collapsed="false">
      <c r="A87" s="39"/>
      <c r="B87" s="39"/>
      <c r="C87" s="39"/>
      <c r="D87" s="39"/>
      <c r="E87" s="39"/>
      <c r="F87" s="39"/>
      <c r="G87" s="43"/>
      <c r="H87" s="39"/>
      <c r="I87" s="39"/>
    </row>
    <row r="88" customFormat="false" ht="15" hidden="false" customHeight="false" outlineLevel="0" collapsed="false">
      <c r="A88" s="39"/>
      <c r="B88" s="39"/>
      <c r="C88" s="39"/>
      <c r="D88" s="39"/>
      <c r="E88" s="39"/>
      <c r="F88" s="39"/>
      <c r="G88" s="43"/>
      <c r="H88" s="39"/>
      <c r="I88" s="39"/>
    </row>
    <row r="89" customFormat="false" ht="15" hidden="false" customHeight="false" outlineLevel="0" collapsed="false">
      <c r="A89" s="39"/>
      <c r="B89" s="39"/>
      <c r="C89" s="39"/>
      <c r="D89" s="39"/>
      <c r="E89" s="39"/>
      <c r="F89" s="39"/>
      <c r="G89" s="43"/>
      <c r="H89" s="39"/>
      <c r="I89" s="39"/>
    </row>
    <row r="90" customFormat="false" ht="15" hidden="false" customHeight="false" outlineLevel="0" collapsed="false">
      <c r="A90" s="39"/>
      <c r="B90" s="39"/>
      <c r="C90" s="39"/>
      <c r="D90" s="39"/>
      <c r="E90" s="39"/>
      <c r="F90" s="39"/>
      <c r="G90" s="43"/>
      <c r="H90" s="39"/>
      <c r="I90" s="39"/>
    </row>
    <row r="91" customFormat="false" ht="15" hidden="false" customHeight="false" outlineLevel="0" collapsed="false">
      <c r="A91" s="39"/>
      <c r="B91" s="39"/>
      <c r="C91" s="39"/>
      <c r="D91" s="39"/>
      <c r="E91" s="39"/>
      <c r="F91" s="39"/>
      <c r="G91" s="43"/>
      <c r="H91" s="39"/>
      <c r="I91" s="39"/>
    </row>
    <row r="92" customFormat="false" ht="15" hidden="false" customHeight="false" outlineLevel="0" collapsed="false">
      <c r="A92" s="39"/>
      <c r="B92" s="39"/>
      <c r="C92" s="39"/>
      <c r="D92" s="39"/>
      <c r="E92" s="39"/>
      <c r="F92" s="39"/>
      <c r="G92" s="43"/>
      <c r="H92" s="39"/>
      <c r="I92" s="39"/>
    </row>
    <row r="93" customFormat="false" ht="15" hidden="false" customHeight="false" outlineLevel="0" collapsed="false">
      <c r="A93" s="39"/>
      <c r="B93" s="39"/>
      <c r="C93" s="39"/>
      <c r="D93" s="39"/>
      <c r="E93" s="39"/>
      <c r="F93" s="39"/>
      <c r="G93" s="43"/>
      <c r="H93" s="39"/>
      <c r="I93" s="39"/>
    </row>
    <row r="94" customFormat="false" ht="15" hidden="false" customHeight="false" outlineLevel="0" collapsed="false">
      <c r="A94" s="39"/>
      <c r="B94" s="39"/>
      <c r="C94" s="39"/>
      <c r="D94" s="39"/>
      <c r="E94" s="39"/>
      <c r="F94" s="39"/>
      <c r="G94" s="43"/>
      <c r="H94" s="39"/>
      <c r="I94" s="39"/>
    </row>
    <row r="95" customFormat="false" ht="15" hidden="false" customHeight="false" outlineLevel="0" collapsed="false">
      <c r="A95" s="39"/>
      <c r="B95" s="39"/>
      <c r="C95" s="39"/>
      <c r="D95" s="39"/>
      <c r="E95" s="39"/>
      <c r="F95" s="39"/>
      <c r="G95" s="43"/>
      <c r="H95" s="39"/>
      <c r="I95" s="39"/>
    </row>
    <row r="96" customFormat="false" ht="15" hidden="false" customHeight="false" outlineLevel="0" collapsed="false">
      <c r="A96" s="39"/>
      <c r="B96" s="39"/>
      <c r="C96" s="39"/>
      <c r="D96" s="39"/>
      <c r="E96" s="39"/>
      <c r="F96" s="39"/>
      <c r="G96" s="43"/>
      <c r="H96" s="39"/>
      <c r="I96" s="39"/>
    </row>
    <row r="97" customFormat="false" ht="15" hidden="false" customHeight="false" outlineLevel="0" collapsed="false">
      <c r="A97" s="39"/>
      <c r="B97" s="39"/>
      <c r="C97" s="39"/>
      <c r="D97" s="39"/>
      <c r="E97" s="39"/>
      <c r="F97" s="39"/>
      <c r="G97" s="43"/>
      <c r="H97" s="39"/>
      <c r="I97" s="39"/>
    </row>
    <row r="98" customFormat="false" ht="15" hidden="false" customHeight="false" outlineLevel="0" collapsed="false">
      <c r="A98" s="39"/>
      <c r="B98" s="39"/>
      <c r="C98" s="39"/>
      <c r="D98" s="39"/>
      <c r="E98" s="39"/>
      <c r="F98" s="39"/>
      <c r="G98" s="43"/>
      <c r="H98" s="39"/>
      <c r="I98" s="39"/>
    </row>
    <row r="99" customFormat="false" ht="15" hidden="false" customHeight="false" outlineLevel="0" collapsed="false">
      <c r="A99" s="39"/>
      <c r="B99" s="39"/>
      <c r="C99" s="39"/>
      <c r="D99" s="39"/>
      <c r="E99" s="39"/>
      <c r="F99" s="39"/>
      <c r="G99" s="43"/>
      <c r="H99" s="39"/>
      <c r="I99" s="39"/>
    </row>
    <row r="100" customFormat="false" ht="15" hidden="false" customHeight="false" outlineLevel="0" collapsed="false">
      <c r="A100" s="39"/>
      <c r="B100" s="39"/>
      <c r="C100" s="39"/>
      <c r="D100" s="39"/>
      <c r="E100" s="39"/>
      <c r="F100" s="39"/>
      <c r="G100" s="43"/>
      <c r="H100" s="39"/>
      <c r="I100" s="39"/>
    </row>
    <row r="101" customFormat="false" ht="15" hidden="false" customHeight="false" outlineLevel="0" collapsed="false">
      <c r="A101" s="39"/>
      <c r="B101" s="39"/>
      <c r="C101" s="39"/>
      <c r="D101" s="39"/>
      <c r="E101" s="39"/>
      <c r="F101" s="39"/>
      <c r="G101" s="43"/>
      <c r="H101" s="39"/>
      <c r="I101" s="39"/>
    </row>
    <row r="102" customFormat="false" ht="15" hidden="false" customHeight="false" outlineLevel="0" collapsed="false">
      <c r="A102" s="39"/>
      <c r="B102" s="39"/>
      <c r="C102" s="39"/>
      <c r="D102" s="39"/>
      <c r="E102" s="39"/>
      <c r="F102" s="39"/>
      <c r="G102" s="43"/>
      <c r="H102" s="39"/>
      <c r="I102" s="39"/>
    </row>
    <row r="103" customFormat="false" ht="15" hidden="false" customHeight="false" outlineLevel="0" collapsed="false">
      <c r="A103" s="39"/>
      <c r="B103" s="39"/>
      <c r="C103" s="39"/>
      <c r="D103" s="39"/>
      <c r="E103" s="39"/>
      <c r="F103" s="39"/>
      <c r="G103" s="43"/>
      <c r="H103" s="39"/>
      <c r="I103" s="39"/>
    </row>
    <row r="104" customFormat="false" ht="15" hidden="false" customHeight="false" outlineLevel="0" collapsed="false">
      <c r="A104" s="39"/>
      <c r="B104" s="39"/>
      <c r="C104" s="39"/>
      <c r="D104" s="39"/>
      <c r="E104" s="39"/>
      <c r="F104" s="39"/>
      <c r="G104" s="43"/>
      <c r="H104" s="39"/>
      <c r="I104" s="39"/>
    </row>
    <row r="105" customFormat="false" ht="15" hidden="false" customHeight="false" outlineLevel="0" collapsed="false">
      <c r="A105" s="39"/>
      <c r="B105" s="39"/>
      <c r="C105" s="39"/>
      <c r="D105" s="39"/>
      <c r="E105" s="39"/>
      <c r="F105" s="39"/>
      <c r="G105" s="43"/>
      <c r="H105" s="39"/>
      <c r="I105" s="39"/>
    </row>
  </sheetData>
  <mergeCells count="2">
    <mergeCell ref="A1:I1"/>
    <mergeCell ref="A2:I2"/>
  </mergeCells>
  <conditionalFormatting sqref="D5:D105">
    <cfRule type="expression" priority="2" aboveAverage="0" equalAverage="0" bottom="0" percent="0" rank="0" text="" dxfId="0">
      <formula>D5="Critical"</formula>
    </cfRule>
  </conditionalFormatting>
  <dataValidations count="3">
    <dataValidation allowBlank="true" error="Enter a date, e.g. 2026-10-22." errorStyle="stop" errorTitle="Date required" operator="greaterThan" showDropDown="false" showErrorMessage="true" showInputMessage="false" sqref="G5:G105" type="date">
      <formula1>1</formula1>
      <formula2>0</formula2>
    </dataValidation>
    <dataValidation allowBlank="true" errorStyle="stop" operator="between" showDropDown="false" showErrorMessage="false" showInputMessage="false" sqref="D5:D105" type="list">
      <formula1>Impact</formula1>
      <formula2>0</formula2>
    </dataValidation>
    <dataValidation allowBlank="true" errorStyle="stop" operator="between" showDropDown="false" showErrorMessage="false" showInputMessage="false" sqref="H5:H105" type="list">
      <formula1>Status</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&amp;A&amp;R&amp;8 Powered by MSP Culture  |  v1.0  |  Page &amp;P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W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0"/>
    <col collapsed="false" customWidth="true" hidden="false" outlineLevel="0" max="23" min="4" style="0" width="28"/>
  </cols>
  <sheetData>
    <row r="1" customFormat="false" ht="15" hidden="false" customHeight="false" outlineLevel="0" collapsed="false">
      <c r="A1" s="46" t="s">
        <v>465</v>
      </c>
      <c r="D1" s="46" t="s">
        <v>466</v>
      </c>
    </row>
    <row r="2" customFormat="false" ht="15" hidden="false" customHeight="false" outlineLevel="0" collapsed="false">
      <c r="A2" s="47" t="s">
        <v>467</v>
      </c>
      <c r="B2" s="48" t="n">
        <v>4</v>
      </c>
      <c r="D2" s="49" t="s">
        <v>468</v>
      </c>
      <c r="E2" s="49" t="s">
        <v>469</v>
      </c>
      <c r="F2" s="49" t="s">
        <v>470</v>
      </c>
      <c r="G2" s="49" t="s">
        <v>471</v>
      </c>
      <c r="H2" s="49" t="s">
        <v>472</v>
      </c>
      <c r="I2" s="49" t="s">
        <v>241</v>
      </c>
      <c r="J2" s="49" t="s">
        <v>473</v>
      </c>
      <c r="K2" s="49" t="s">
        <v>474</v>
      </c>
      <c r="L2" s="49" t="s">
        <v>475</v>
      </c>
      <c r="M2" s="49" t="s">
        <v>476</v>
      </c>
      <c r="N2" s="49" t="s">
        <v>477</v>
      </c>
      <c r="O2" s="49" t="s">
        <v>478</v>
      </c>
      <c r="P2" s="49" t="s">
        <v>479</v>
      </c>
      <c r="Q2" s="49" t="s">
        <v>480</v>
      </c>
      <c r="R2" s="49" t="s">
        <v>481</v>
      </c>
      <c r="S2" s="49" t="s">
        <v>482</v>
      </c>
      <c r="T2" s="49" t="s">
        <v>483</v>
      </c>
      <c r="U2" s="49" t="s">
        <v>484</v>
      </c>
      <c r="V2" s="49" t="s">
        <v>485</v>
      </c>
      <c r="W2" s="49" t="s">
        <v>459</v>
      </c>
    </row>
    <row r="3" customFormat="false" ht="15" hidden="false" customHeight="false" outlineLevel="0" collapsed="false">
      <c r="A3" s="47" t="s">
        <v>486</v>
      </c>
      <c r="B3" s="48" t="n">
        <v>24</v>
      </c>
      <c r="D3" s="47" t="s">
        <v>192</v>
      </c>
      <c r="E3" s="47" t="s">
        <v>462</v>
      </c>
      <c r="F3" s="47" t="s">
        <v>487</v>
      </c>
      <c r="G3" s="47" t="s">
        <v>488</v>
      </c>
      <c r="H3" s="47" t="s">
        <v>489</v>
      </c>
      <c r="I3" s="47" t="s">
        <v>490</v>
      </c>
      <c r="J3" s="47" t="s">
        <v>255</v>
      </c>
      <c r="K3" s="47" t="s">
        <v>491</v>
      </c>
      <c r="L3" s="47" t="s">
        <v>288</v>
      </c>
      <c r="M3" s="47" t="s">
        <v>304</v>
      </c>
      <c r="N3" s="47" t="s">
        <v>341</v>
      </c>
      <c r="O3" s="47" t="s">
        <v>342</v>
      </c>
      <c r="P3" s="47" t="s">
        <v>359</v>
      </c>
      <c r="Q3" s="47" t="s">
        <v>492</v>
      </c>
      <c r="R3" s="47" t="s">
        <v>493</v>
      </c>
      <c r="S3" s="47" t="s">
        <v>494</v>
      </c>
      <c r="T3" s="47" t="s">
        <v>495</v>
      </c>
      <c r="U3" s="47" t="s">
        <v>496</v>
      </c>
      <c r="V3" s="47" t="s">
        <v>448</v>
      </c>
      <c r="W3" s="47" t="s">
        <v>464</v>
      </c>
    </row>
    <row r="4" customFormat="false" ht="15" hidden="false" customHeight="false" outlineLevel="0" collapsed="false">
      <c r="A4" s="47" t="s">
        <v>497</v>
      </c>
      <c r="B4" s="48" t="n">
        <v>72</v>
      </c>
      <c r="D4" s="47" t="s">
        <v>234</v>
      </c>
      <c r="E4" s="47" t="s">
        <v>190</v>
      </c>
      <c r="F4" s="47" t="s">
        <v>498</v>
      </c>
      <c r="G4" s="47" t="s">
        <v>499</v>
      </c>
      <c r="H4" s="47" t="s">
        <v>229</v>
      </c>
      <c r="I4" s="47" t="s">
        <v>500</v>
      </c>
      <c r="J4" s="47" t="s">
        <v>501</v>
      </c>
      <c r="K4" s="47" t="s">
        <v>278</v>
      </c>
      <c r="L4" s="47" t="s">
        <v>502</v>
      </c>
      <c r="M4" s="47" t="s">
        <v>503</v>
      </c>
      <c r="N4" s="47" t="s">
        <v>504</v>
      </c>
      <c r="O4" s="47" t="s">
        <v>505</v>
      </c>
      <c r="P4" s="47" t="s">
        <v>506</v>
      </c>
      <c r="Q4" s="47" t="s">
        <v>507</v>
      </c>
      <c r="R4" s="47" t="s">
        <v>445</v>
      </c>
      <c r="S4" s="47" t="s">
        <v>508</v>
      </c>
      <c r="T4" s="47" t="s">
        <v>509</v>
      </c>
      <c r="U4" s="47" t="s">
        <v>428</v>
      </c>
      <c r="V4" s="47" t="s">
        <v>447</v>
      </c>
      <c r="W4" s="47" t="s">
        <v>510</v>
      </c>
    </row>
    <row r="5" customFormat="false" ht="15" hidden="false" customHeight="false" outlineLevel="0" collapsed="false">
      <c r="A5" s="47" t="s">
        <v>511</v>
      </c>
      <c r="B5" s="48" t="n">
        <v>365</v>
      </c>
      <c r="D5" s="47" t="s">
        <v>512</v>
      </c>
      <c r="E5" s="47" t="s">
        <v>191</v>
      </c>
      <c r="F5" s="47" t="s">
        <v>227</v>
      </c>
      <c r="G5" s="47" t="s">
        <v>513</v>
      </c>
      <c r="H5" s="47" t="s">
        <v>514</v>
      </c>
      <c r="I5" s="47" t="s">
        <v>254</v>
      </c>
      <c r="J5" s="47" t="s">
        <v>515</v>
      </c>
      <c r="K5" s="47" t="s">
        <v>516</v>
      </c>
      <c r="L5" s="47" t="s">
        <v>517</v>
      </c>
      <c r="M5" s="47" t="s">
        <v>518</v>
      </c>
      <c r="N5" s="47" t="s">
        <v>519</v>
      </c>
      <c r="O5" s="47" t="s">
        <v>343</v>
      </c>
      <c r="P5" s="47" t="s">
        <v>520</v>
      </c>
      <c r="Q5" s="47" t="s">
        <v>362</v>
      </c>
      <c r="R5" s="47" t="s">
        <v>521</v>
      </c>
      <c r="S5" s="47" t="s">
        <v>407</v>
      </c>
      <c r="T5" s="47" t="s">
        <v>412</v>
      </c>
      <c r="U5" s="47" t="s">
        <v>522</v>
      </c>
      <c r="V5" s="47" t="s">
        <v>523</v>
      </c>
      <c r="W5" s="47" t="s">
        <v>524</v>
      </c>
    </row>
    <row r="6" customFormat="false" ht="15" hidden="false" customHeight="false" outlineLevel="0" collapsed="false">
      <c r="A6" s="47" t="s">
        <v>525</v>
      </c>
      <c r="B6" s="48" t="n">
        <v>90</v>
      </c>
      <c r="D6" s="47" t="s">
        <v>286</v>
      </c>
      <c r="E6" s="47" t="s">
        <v>526</v>
      </c>
      <c r="F6" s="47" t="s">
        <v>527</v>
      </c>
      <c r="G6" s="47" t="s">
        <v>224</v>
      </c>
      <c r="H6" s="47" t="s">
        <v>528</v>
      </c>
      <c r="I6" s="47" t="s">
        <v>529</v>
      </c>
      <c r="J6" s="47" t="s">
        <v>530</v>
      </c>
      <c r="K6" s="47" t="s">
        <v>531</v>
      </c>
      <c r="L6" s="47" t="s">
        <v>532</v>
      </c>
      <c r="M6" s="47" t="s">
        <v>533</v>
      </c>
      <c r="N6" s="47" t="s">
        <v>534</v>
      </c>
      <c r="O6" s="47" t="s">
        <v>535</v>
      </c>
      <c r="P6" s="47" t="s">
        <v>536</v>
      </c>
      <c r="Q6" s="47" t="s">
        <v>537</v>
      </c>
      <c r="R6" s="47" t="s">
        <v>538</v>
      </c>
      <c r="S6" s="47" t="s">
        <v>539</v>
      </c>
      <c r="T6" s="47" t="s">
        <v>540</v>
      </c>
      <c r="U6" s="47" t="s">
        <v>541</v>
      </c>
      <c r="V6" s="47" t="s">
        <v>542</v>
      </c>
      <c r="W6" s="47" t="s">
        <v>543</v>
      </c>
    </row>
    <row r="7" customFormat="false" ht="15" hidden="false" customHeight="false" outlineLevel="0" collapsed="false">
      <c r="G7" s="47" t="s">
        <v>544</v>
      </c>
      <c r="H7" s="47" t="s">
        <v>512</v>
      </c>
      <c r="J7" s="47" t="s">
        <v>545</v>
      </c>
      <c r="K7" s="47" t="s">
        <v>546</v>
      </c>
      <c r="L7" s="47" t="s">
        <v>547</v>
      </c>
      <c r="M7" s="47" t="s">
        <v>548</v>
      </c>
      <c r="N7" s="47" t="s">
        <v>549</v>
      </c>
      <c r="O7" s="47" t="s">
        <v>550</v>
      </c>
      <c r="P7" s="47" t="s">
        <v>551</v>
      </c>
      <c r="Q7" s="47" t="s">
        <v>552</v>
      </c>
      <c r="R7" s="47" t="s">
        <v>444</v>
      </c>
      <c r="S7" s="47" t="s">
        <v>553</v>
      </c>
      <c r="T7" s="47" t="s">
        <v>512</v>
      </c>
      <c r="U7" s="47" t="s">
        <v>554</v>
      </c>
      <c r="V7" s="47" t="s">
        <v>555</v>
      </c>
    </row>
    <row r="8" customFormat="false" ht="15" hidden="false" customHeight="false" outlineLevel="0" collapsed="false">
      <c r="J8" s="47" t="s">
        <v>556</v>
      </c>
      <c r="K8" s="47" t="s">
        <v>557</v>
      </c>
      <c r="L8" s="47" t="s">
        <v>558</v>
      </c>
      <c r="M8" s="47" t="s">
        <v>559</v>
      </c>
      <c r="N8" s="47" t="s">
        <v>560</v>
      </c>
      <c r="O8" s="47" t="s">
        <v>561</v>
      </c>
      <c r="P8" s="47" t="s">
        <v>562</v>
      </c>
      <c r="Q8" s="47" t="s">
        <v>512</v>
      </c>
      <c r="R8" s="47" t="s">
        <v>383</v>
      </c>
      <c r="S8" s="47" t="s">
        <v>563</v>
      </c>
      <c r="U8" s="47" t="s">
        <v>564</v>
      </c>
      <c r="V8" s="47" t="s">
        <v>565</v>
      </c>
    </row>
    <row r="9" customFormat="false" ht="15" hidden="false" customHeight="false" outlineLevel="0" collapsed="false">
      <c r="J9" s="47" t="s">
        <v>566</v>
      </c>
      <c r="K9" s="47" t="s">
        <v>567</v>
      </c>
      <c r="L9" s="47" t="s">
        <v>512</v>
      </c>
      <c r="M9" s="47" t="s">
        <v>568</v>
      </c>
      <c r="N9" s="47" t="s">
        <v>569</v>
      </c>
      <c r="O9" s="47" t="s">
        <v>255</v>
      </c>
      <c r="P9" s="47" t="s">
        <v>570</v>
      </c>
      <c r="R9" s="47" t="s">
        <v>571</v>
      </c>
      <c r="S9" s="47" t="s">
        <v>572</v>
      </c>
      <c r="U9" s="47" t="s">
        <v>573</v>
      </c>
      <c r="V9" s="47" t="s">
        <v>574</v>
      </c>
    </row>
    <row r="10" customFormat="false" ht="15" hidden="false" customHeight="false" outlineLevel="0" collapsed="false">
      <c r="J10" s="47" t="s">
        <v>575</v>
      </c>
      <c r="K10" s="47" t="s">
        <v>576</v>
      </c>
      <c r="M10" s="47" t="s">
        <v>577</v>
      </c>
      <c r="N10" s="47" t="s">
        <v>255</v>
      </c>
      <c r="O10" s="47" t="s">
        <v>578</v>
      </c>
      <c r="P10" s="47" t="s">
        <v>579</v>
      </c>
      <c r="R10" s="47" t="s">
        <v>580</v>
      </c>
      <c r="S10" s="47" t="s">
        <v>581</v>
      </c>
      <c r="U10" s="47" t="s">
        <v>578</v>
      </c>
      <c r="V10" s="47" t="s">
        <v>582</v>
      </c>
    </row>
    <row r="11" customFormat="false" ht="15" hidden="false" customHeight="false" outlineLevel="0" collapsed="false">
      <c r="J11" s="47" t="s">
        <v>583</v>
      </c>
      <c r="K11" s="47" t="s">
        <v>584</v>
      </c>
      <c r="M11" s="47" t="s">
        <v>585</v>
      </c>
      <c r="P11" s="47" t="s">
        <v>586</v>
      </c>
      <c r="R11" s="47" t="s">
        <v>587</v>
      </c>
      <c r="S11" s="47" t="s">
        <v>588</v>
      </c>
    </row>
    <row r="12" customFormat="false" ht="15" hidden="false" customHeight="false" outlineLevel="0" collapsed="false">
      <c r="J12" s="47" t="s">
        <v>589</v>
      </c>
      <c r="K12" s="47" t="s">
        <v>590</v>
      </c>
      <c r="M12" s="47" t="s">
        <v>591</v>
      </c>
      <c r="P12" s="47" t="s">
        <v>578</v>
      </c>
      <c r="R12" s="47" t="s">
        <v>255</v>
      </c>
      <c r="S12" s="47" t="s">
        <v>592</v>
      </c>
    </row>
    <row r="13" customFormat="false" ht="15" hidden="false" customHeight="false" outlineLevel="0" collapsed="false">
      <c r="J13" s="47" t="s">
        <v>578</v>
      </c>
      <c r="K13" s="47" t="s">
        <v>578</v>
      </c>
      <c r="M13" s="47" t="s">
        <v>593</v>
      </c>
      <c r="S13" s="47" t="s">
        <v>578</v>
      </c>
    </row>
    <row r="14" customFormat="false" ht="15" hidden="false" customHeight="false" outlineLevel="0" collapsed="false">
      <c r="M14" s="47" t="s">
        <v>578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2026-10-23T16:01:26Z</dcterms:created>
  <dc:creator/>
  <dc:description/>
  <dc:language>en-US</dc:language>
  <cp:lastModifiedBy/>
  <dcterms:modified xsi:type="dcterms:W3CDTF">2026-10-23T16:01:27Z</dcterms:modified>
  <cp:revision>0</cp:revision>
  <dc:subject/>
  <dc:title>DR Plan Information Gathering Workbook</dc:title>
</cp:coreProperties>
</file>

<file path=docProps/custom.xml><?xml version="1.0" encoding="utf-8"?>
<Properties xmlns="http://schemas.openxmlformats.org/officeDocument/2006/custom-properties" xmlns:vt="http://schemas.openxmlformats.org/officeDocument/2006/docPropsVTypes"/>
</file>