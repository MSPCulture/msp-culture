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 Info" sheetId="2" state="visible" r:id="rId4"/>
    <sheet name="Data Inputs" sheetId="3" state="visible" r:id="rId5"/>
    <sheet name="Assessment" sheetId="4" state="visible" r:id="rId6"/>
    <sheet name="Summary" sheetId="5" state="visible" r:id="rId7"/>
    <sheet name="Thresholds" sheetId="6" state="visible" r:id="rId8"/>
    <sheet name="Lists" sheetId="7" state="hidden" r:id="rId9"/>
  </sheets>
  <definedNames>
    <definedName function="false" hidden="false" localSheetId="3" name="_xlnm.Print_Titles" vbProcedure="false">Assessment!$4:$4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MSP Culture</author>
  </authors>
  <commentList>
    <comment ref="F4" authorId="0">
      <text>
        <r>
          <rPr>
            <sz val="10"/>
            <rFont val="Arial"/>
            <family val="2"/>
          </rPr>
          <t xml:space="preserve">Y = an At Risk outcome on this item forces the overall rating to At Risk (if enabled on the Thresholds tab).</t>
        </r>
      </text>
    </comment>
    <comment ref="G4" authorId="0">
      <text>
        <r>
          <rPr>
            <sz val="10"/>
            <rFont val="Arial"/>
            <family val="2"/>
          </rPr>
          <t xml:space="preserve">1 = supporting signal, 2 = standard, 3 = leading indicator of churn.</t>
        </r>
      </text>
    </comment>
  </commentList>
</comments>
</file>

<file path=xl/sharedStrings.xml><?xml version="1.0" encoding="utf-8"?>
<sst xmlns="http://schemas.openxmlformats.org/spreadsheetml/2006/main" count="646" uniqueCount="433">
  <si>
    <t xml:space="preserve">Client Relationship Health Assessment</t>
  </si>
  <si>
    <t xml:space="preserve">[ Your logo ]</t>
  </si>
  <si>
    <t xml:space="preserve">A quarterly, evidence-based read on the health of each client relationship.</t>
  </si>
  <si>
    <t xml:space="preserve">INTERNAL USE ONLY</t>
  </si>
  <si>
    <t xml:space="preserve">This assessment rates the client's behavior and our relationship with them. Do not share it with the client, include it in client-facing reports, or attach it to a QBR deck. Use the findings to prepare for the QBR; present the resulting actions, not the ratings.</t>
  </si>
  <si>
    <t xml:space="preserve">Purpose</t>
  </si>
  <si>
    <t xml:space="preserve">Technical assessments measure the client's environment. This one measures the relationship: governance, service experience, feedback, commercial health, strategic alignment, and known risk triggers.</t>
  </si>
  <si>
    <t xml:space="preserve">Most items are scored from data in your PSA, CSAT tool, and accounting system so the account owner isn't grading their own work. Judgment items require evidence.</t>
  </si>
  <si>
    <t xml:space="preserve">When to run it</t>
  </si>
  <si>
    <t xml:space="preserve">Quarterly, about two weeks before each QBR.</t>
  </si>
  <si>
    <t xml:space="preserve">Within 30 days of a change in the client's primary contact or decision-maker.</t>
  </si>
  <si>
    <t xml:space="preserve">120 days before agreement renewal.</t>
  </si>
  <si>
    <t xml:space="preserve">After a major outage or security incident.</t>
  </si>
  <si>
    <t xml:space="preserve">How to complete it</t>
  </si>
  <si>
    <t xml:space="preserve">1. Client Info: fill in the yellow cells, including agreement margin and target margin.</t>
  </si>
  <si>
    <t xml:space="preserve">2. Data Inputs: pull each figure as of the assessment date. The calculated metric appears on the right.</t>
  </si>
  <si>
    <t xml:space="preserve">3. Assessment: data items show a suggested outcome automatically. Score every Judgment and Trigger item in 'Assessor outcome', and record evidence for anything that isn't Satisfactory.</t>
  </si>
  <si>
    <t xml:space="preserve">4. To override a data-driven suggestion, choose a different 'Assessor outcome' and record why in 'Evidence / notes'.</t>
  </si>
  <si>
    <t xml:space="preserve">5. Summary: review the rating, alerts, Health x Profitability quadrant, and the action list. Assign an owner to every At Risk item.</t>
  </si>
  <si>
    <t xml:space="preserve">6. Save a copy per client per quarter, and enter this score as 'Previous assessment score' next time to track the trend.</t>
  </si>
  <si>
    <t xml:space="preserve">Outcomes</t>
  </si>
  <si>
    <t xml:space="preserve">Satisfactory: healthy; no action needed.</t>
  </si>
  <si>
    <t xml:space="preserve">Needs Attention: address before the next assessment.</t>
  </si>
  <si>
    <t xml:space="preserve">At Risk: needs immediate attention.</t>
  </si>
  <si>
    <t xml:space="preserve">Scoring</t>
  </si>
  <si>
    <t xml:space="preserve">Each item earns points by outcome (default 100 / 50 / 0), multiplied by its weight (1 = supporting signal, 2 = standard, 3 = leading indicator of churn). The overall score is the weighted average of scored items.</t>
  </si>
  <si>
    <t xml:space="preserve">Ratings: Healthy (80+), Watch (60-79), At Risk (below 60). Any Critical item rated At Risk forces the overall rating to At Risk regardless of score.</t>
  </si>
  <si>
    <t xml:space="preserve">Risk Triggers: answering 'Unknown' scores Needs Attention. Not knowing is a finding.</t>
  </si>
  <si>
    <t xml:space="preserve">All thresholds, points, bands, and the critical-item rule can be tuned on the Thresholds tab.</t>
  </si>
  <si>
    <t xml:space="preserve">Health x Profitability</t>
  </si>
  <si>
    <t xml:space="preserve">Protect &amp; Expand: healthy and profitable.</t>
  </si>
  <si>
    <t xml:space="preserve">Reprice: healthy but below target margin. The relationship can absorb a pricing conversation.</t>
  </si>
  <si>
    <t xml:space="preserve">Rescue (Priority): unhealthy but profitable. The revenue you are most likely to lose without seeing it coming.</t>
  </si>
  <si>
    <t xml:space="preserve">Fix or Exit: unhealthy and below target. Decide deliberately between a recovery plan and a managed exit.</t>
  </si>
  <si>
    <t xml:space="preserve">Legend</t>
  </si>
  <si>
    <t xml:space="preserve">Input</t>
  </si>
  <si>
    <t xml:space="preserve">Yellow cells with blue text: enter or edit these.</t>
  </si>
  <si>
    <t xml:space="preserve">Calculated</t>
  </si>
  <si>
    <t xml:space="preserve">Grey cells: formulas. Don't overwrite.</t>
  </si>
  <si>
    <t xml:space="preserve">Example</t>
  </si>
  <si>
    <t xml:space="preserve">Grey italic: example values showing the expected format. Not used in scoring.</t>
  </si>
  <si>
    <t xml:space="preserve">Tabs</t>
  </si>
  <si>
    <t xml:space="preserve">Client Info</t>
  </si>
  <si>
    <t xml:space="preserve">Client, agreement, and margin details.</t>
  </si>
  <si>
    <t xml:space="preserve">Data Inputs</t>
  </si>
  <si>
    <t xml:space="preserve">Objective metrics from your PSA, CSAT tool, and accounting system.</t>
  </si>
  <si>
    <t xml:space="preserve">Assessment</t>
  </si>
  <si>
    <t xml:space="preserve">29 items across six dimensions, with outcomes, evidence, and recommended plays.</t>
  </si>
  <si>
    <t xml:space="preserve">Summary</t>
  </si>
  <si>
    <t xml:space="preserve">Score, rating, alerts, Health x Profitability, and the prioritized action list.</t>
  </si>
  <si>
    <t xml:space="preserve">Thresholds</t>
  </si>
  <si>
    <t xml:space="preserve">Tunable thresholds and scoring settings.</t>
  </si>
  <si>
    <t xml:space="preserve">Lifecycle Manager X version</t>
  </si>
  <si>
    <t xml:space="preserve">This assessment is also available as a ScalePad Lifecycle Manager X template, along with help aligning the resulting initiatives to your service offerings. Contact MSP Culture:</t>
  </si>
  <si>
    <t xml:space="preserve">https://github.com/MSPCulture/msp-culture</t>
  </si>
  <si>
    <t xml:space="preserve">Terms of use</t>
  </si>
  <si>
    <t xml:space="preserve">Free to use and modify within your organization, including with your clients.</t>
  </si>
  <si>
    <t xml:space="preserve">Do not resell this workbook or redistribute it, original or modified, as your own product.</t>
  </si>
  <si>
    <t xml:space="preserve">Provided as-is, with no warranty. You are responsible for how you use the results.</t>
  </si>
  <si>
    <t xml:space="preserve">Version 1.0  |  October 2026</t>
  </si>
  <si>
    <t xml:space="preserve">Powered by MSP Culture</t>
  </si>
  <si>
    <t xml:space="preserve">Client Information</t>
  </si>
  <si>
    <t xml:space="preserve">Complete the yellow cells. Example column shows the expected format.</t>
  </si>
  <si>
    <t xml:space="preserve">Field</t>
  </si>
  <si>
    <t xml:space="preserve">Value</t>
  </si>
  <si>
    <t xml:space="preserve">Notes</t>
  </si>
  <si>
    <t xml:space="preserve">Assessing MSP</t>
  </si>
  <si>
    <t xml:space="preserve">Your MSP name</t>
  </si>
  <si>
    <t xml:space="preserve">Appears on the Summary tab.</t>
  </si>
  <si>
    <t xml:space="preserve">Client name</t>
  </si>
  <si>
    <t xml:space="preserve">Riverbend Dental Group</t>
  </si>
  <si>
    <t xml:space="preserve">Assessment date</t>
  </si>
  <si>
    <t xml:space="preserve">All 'last 90 days' and 'last 12 months' data should be pulled as of this date.</t>
  </si>
  <si>
    <t xml:space="preserve">Assessor</t>
  </si>
  <si>
    <t xml:space="preserve">J. Smith, vCIO</t>
  </si>
  <si>
    <t xml:space="preserve">Should not be the only person who manages the account day-to-day.</t>
  </si>
  <si>
    <t xml:space="preserve">Account manager</t>
  </si>
  <si>
    <t xml:space="preserve">R. Lee</t>
  </si>
  <si>
    <t xml:space="preserve">Client primary contact</t>
  </si>
  <si>
    <t xml:space="preserve">Office Manager</t>
  </si>
  <si>
    <t xml:space="preserve">Client executive sponsor / decision-maker</t>
  </si>
  <si>
    <t xml:space="preserve">Practice Owner</t>
  </si>
  <si>
    <t xml:space="preserve">The person who signs the renewal.</t>
  </si>
  <si>
    <t xml:space="preserve">Agreement type</t>
  </si>
  <si>
    <t xml:space="preserve">Managed services - all-inclusive</t>
  </si>
  <si>
    <t xml:space="preserve">Agreement start date</t>
  </si>
  <si>
    <t xml:space="preserve">Next renewal date</t>
  </si>
  <si>
    <t xml:space="preserve">Days to renewal</t>
  </si>
  <si>
    <t xml:space="preserve">Calculated. 120 days or fewer triggers a renewal warning on the Summary.</t>
  </si>
  <si>
    <t xml:space="preserve">Active users (current)</t>
  </si>
  <si>
    <t xml:space="preserve">Used to normalize ticket volume.</t>
  </si>
  <si>
    <t xml:space="preserve">Contracted QBRs per year</t>
  </si>
  <si>
    <t xml:space="preserve">Per the agreement or your service standard.</t>
  </si>
  <si>
    <t xml:space="preserve">Payment terms (days)</t>
  </si>
  <si>
    <t xml:space="preserve">Agreement gross margin % (trailing 12 months)</t>
  </si>
  <si>
    <t xml:space="preserve">From your PSA agreement profitability report.</t>
  </si>
  <si>
    <t xml:space="preserve">Target agreement gross margin %</t>
  </si>
  <si>
    <t xml:space="preserve">Your internal target for this agreement type.</t>
  </si>
  <si>
    <t xml:space="preserve">Previous assessment score</t>
  </si>
  <si>
    <t xml:space="preserve">Leave blank for the first assessment.</t>
  </si>
  <si>
    <t xml:space="preserve">Previous assessment date</t>
  </si>
  <si>
    <t xml:space="preserve">Pull these figures from your PSA, CSAT tool, and accounting system as of the assessment date. Calculated metrics feed the Assessment tab.</t>
  </si>
  <si>
    <t xml:space="preserve">ID</t>
  </si>
  <si>
    <t xml:space="preserve">Assessment item</t>
  </si>
  <si>
    <t xml:space="preserve">Where to find it</t>
  </si>
  <si>
    <t xml:space="preserve">Calculated metric</t>
  </si>
  <si>
    <t xml:space="preserve">G1</t>
  </si>
  <si>
    <t xml:space="preserve">QBR completion</t>
  </si>
  <si>
    <t xml:space="preserve">QBRs held in the last 12 months</t>
  </si>
  <si>
    <t xml:space="preserve">PSA calendar, QBR log, or Lifecycle Manager meeting history.</t>
  </si>
  <si>
    <t xml:space="preserve">G2</t>
  </si>
  <si>
    <t xml:space="preserve">Time since last QBR</t>
  </si>
  <si>
    <t xml:space="preserve">Date of most recent QBR actually held</t>
  </si>
  <si>
    <t xml:space="preserve">PSA calendar or QBR log.</t>
  </si>
  <si>
    <t xml:space="preserve">G5</t>
  </si>
  <si>
    <t xml:space="preserve">QBR commitments delivered</t>
  </si>
  <si>
    <t xml:space="preserve">Action items we committed to at the last QBR</t>
  </si>
  <si>
    <t xml:space="preserve">QBR notes / action log.</t>
  </si>
  <si>
    <t xml:space="preserve">Of those, completed by the agreed date</t>
  </si>
  <si>
    <t xml:space="preserve">QBR notes / PSA project or ticket status.</t>
  </si>
  <si>
    <t xml:space="preserve">G6</t>
  </si>
  <si>
    <t xml:space="preserve">Relationship breadth</t>
  </si>
  <si>
    <t xml:space="preserve">Client contacts with an active, direct relationship with us</t>
  </si>
  <si>
    <t xml:space="preserve">Account manager / vCIO judgment; CRM contact activity.</t>
  </si>
  <si>
    <t xml:space="preserve">S1</t>
  </si>
  <si>
    <t xml:space="preserve">Ticket volume vs baseline</t>
  </si>
  <si>
    <t xml:space="preserve">Tickets opened in the last 90 days</t>
  </si>
  <si>
    <t xml:space="preserve">PSA ticket report, company filter, date opened.</t>
  </si>
  <si>
    <t xml:space="preserve">Tickets opened in the last 12 months</t>
  </si>
  <si>
    <t xml:space="preserve">Same report, last 12 months (includes the last 90 days).</t>
  </si>
  <si>
    <t xml:space="preserve">Average users over the last 12 months (optional)</t>
  </si>
  <si>
    <t xml:space="preserve">Leave blank to use current user count.</t>
  </si>
  <si>
    <t xml:space="preserve">S2</t>
  </si>
  <si>
    <t xml:space="preserve">Service desk bypass</t>
  </si>
  <si>
    <t xml:space="preserve">Requests that bypassed the service desk in the last 90 days</t>
  </si>
  <si>
    <t xml:space="preserve">Tickets created by techs on the client's behalf from direct texts/calls; ask the team.</t>
  </si>
  <si>
    <t xml:space="preserve">S3</t>
  </si>
  <si>
    <t xml:space="preserve">Reopened / repeat tickets</t>
  </si>
  <si>
    <t xml:space="preserve">Tickets reopened or repeating a prior issue, last 90 days</t>
  </si>
  <si>
    <t xml:space="preserve">PSA reopen count or tickets linked to a prior ticket.</t>
  </si>
  <si>
    <t xml:space="preserve">S4</t>
  </si>
  <si>
    <t xml:space="preserve">SLA attainment</t>
  </si>
  <si>
    <t xml:space="preserve">SLA attainment %, last 90 days</t>
  </si>
  <si>
    <t xml:space="preserve">PSA SLA report for the company.</t>
  </si>
  <si>
    <t xml:space="preserve">S5</t>
  </si>
  <si>
    <t xml:space="preserve">Assignment stability</t>
  </si>
  <si>
    <t xml:space="preserve">Changes to assigned primary tech / TAM in the last 12 months</t>
  </si>
  <si>
    <t xml:space="preserve">Team assignment history.</t>
  </si>
  <si>
    <t xml:space="preserve">F1</t>
  </si>
  <si>
    <t xml:space="preserve">CSAT response rate</t>
  </si>
  <si>
    <t xml:space="preserve">CSAT surveys sent, last 90 days</t>
  </si>
  <si>
    <t xml:space="preserve">CSAT tool (e.g., SmileBack, Crewhu) or PSA survey report.</t>
  </si>
  <si>
    <t xml:space="preserve">CSAT responses received, last 90 days</t>
  </si>
  <si>
    <t xml:space="preserve">Same report.</t>
  </si>
  <si>
    <t xml:space="preserve">F2</t>
  </si>
  <si>
    <t xml:space="preserve">CSAT positive rate</t>
  </si>
  <si>
    <t xml:space="preserve">Positive responses, last 90 days</t>
  </si>
  <si>
    <t xml:space="preserve">F3</t>
  </si>
  <si>
    <t xml:space="preserve">Negative CSAT follow-up</t>
  </si>
  <si>
    <t xml:space="preserve">Negative responses, last 90 days</t>
  </si>
  <si>
    <t xml:space="preserve">Negative responses followed up by a person within 2 business days</t>
  </si>
  <si>
    <t xml:space="preserve">Ticket notes / CSAT tool follow-up log.</t>
  </si>
  <si>
    <t xml:space="preserve">C1</t>
  </si>
  <si>
    <t xml:space="preserve">Payment timeliness</t>
  </si>
  <si>
    <t xml:space="preserve">Average days to pay, last 90 days</t>
  </si>
  <si>
    <t xml:space="preserve">Accounting system or PSA invoice aging.</t>
  </si>
  <si>
    <t xml:space="preserve">Average days to pay, prior 90 days</t>
  </si>
  <si>
    <t xml:space="preserve">Same report, prior period.</t>
  </si>
  <si>
    <t xml:space="preserve">C2</t>
  </si>
  <si>
    <t xml:space="preserve">Proposal approval rate</t>
  </si>
  <si>
    <t xml:space="preserve">Proposals / initiatives presented, last 12 months</t>
  </si>
  <si>
    <t xml:space="preserve">PSA opportunities, quoting tool, or Lifecycle Manager initiatives.</t>
  </si>
  <si>
    <t xml:space="preserve">Of those, approved</t>
  </si>
  <si>
    <t xml:space="preserve">Same source.</t>
  </si>
  <si>
    <t xml:space="preserve">C3</t>
  </si>
  <si>
    <t xml:space="preserve">Stalled proposals</t>
  </si>
  <si>
    <t xml:space="preserve">Proposals open more than 60 days without a decision</t>
  </si>
  <si>
    <t xml:space="preserve">Quoting tool / PSA opportunities.</t>
  </si>
  <si>
    <t xml:space="preserve">Relationship Health Assessment</t>
  </si>
  <si>
    <t xml:space="preserve">Data items score automatically from the Data Inputs tab. Score judgment items in 'Assessor outcome'. An assessor outcome overrides the suggestion and requires evidence.</t>
  </si>
  <si>
    <t xml:space="preserve">Dimension</t>
  </si>
  <si>
    <t xml:space="preserve">Question</t>
  </si>
  <si>
    <t xml:space="preserve">Why it matters</t>
  </si>
  <si>
    <t xml:space="preserve">Basis</t>
  </si>
  <si>
    <t xml:space="preserve">Critical</t>
  </si>
  <si>
    <t xml:space="preserve">Weight</t>
  </si>
  <si>
    <t xml:space="preserve">Satisfactory</t>
  </si>
  <si>
    <t xml:space="preserve">Needs Attention</t>
  </si>
  <si>
    <t xml:space="preserve">At Risk</t>
  </si>
  <si>
    <t xml:space="preserve">Measured value</t>
  </si>
  <si>
    <t xml:space="preserve">Suggested outcome</t>
  </si>
  <si>
    <t xml:space="preserve">Assessor outcome</t>
  </si>
  <si>
    <t xml:space="preserve">Final outcome</t>
  </si>
  <si>
    <t xml:space="preserve">Evidence / notes</t>
  </si>
  <si>
    <t xml:space="preserve">Flag</t>
  </si>
  <si>
    <t xml:space="preserve">Recommended play (if not Satisfactory)</t>
  </si>
  <si>
    <t xml:space="preserve">Points</t>
  </si>
  <si>
    <t xml:space="preserve">Action order</t>
  </si>
  <si>
    <t xml:space="preserve">Governance &amp; Engagement</t>
  </si>
  <si>
    <t xml:space="preserve">Are QBRs being held at the contracted cadence?</t>
  </si>
  <si>
    <t xml:space="preserve">QBRs are the primary governance mechanism. A slipping cadence is usually the first visible sign of disengagement, on either side.</t>
  </si>
  <si>
    <t xml:space="preserve">Data</t>
  </si>
  <si>
    <t xml:space="preserve">N</t>
  </si>
  <si>
    <t xml:space="preserve">Get the next QBR on the calendar this week. If the client keeps rescheduling, ask directly whether the format is serving them, then shorten or restructure it.</t>
  </si>
  <si>
    <t xml:space="preserve">How recently was a QBR actually held?</t>
  </si>
  <si>
    <t xml:space="preserve">Cadence on paper means nothing if the last real conversation was two quarters ago.</t>
  </si>
  <si>
    <t xml:space="preserve">Schedule now. If it has been more than six months, request a short executive check-in rather than a full QBR to re-establish contact first.</t>
  </si>
  <si>
    <t xml:space="preserve">G3</t>
  </si>
  <si>
    <t xml:space="preserve">Does the client's decision-maker attend and engage in QBRs?</t>
  </si>
  <si>
    <t xml:space="preserve">If the person who signs the renewal isn't in the room, the QBR is informing the wrong audience.</t>
  </si>
  <si>
    <t xml:space="preserve">Judgment</t>
  </si>
  <si>
    <t xml:space="preserve">Decision-maker attended the most recent QBR and actively participated in decisions.</t>
  </si>
  <si>
    <t xml:space="preserve">Decision-maker attends inconsistently, or delegates decisions to an office or operations contact.</t>
  </si>
  <si>
    <t xml:space="preserve">Decision-maker has not attended a QBR in 6+ months, or we are not certain who the decision-maker is.</t>
  </si>
  <si>
    <t xml:space="preserve">n/a</t>
  </si>
  <si>
    <t xml:space="preserve">Request 30 minutes directly with the decision-maker. Rebuild the QBR agenda around business outcomes they own, not ticket statistics.</t>
  </si>
  <si>
    <t xml:space="preserve">G4</t>
  </si>
  <si>
    <t xml:space="preserve">Has the client's primary contact or executive sponsor changed, and do we have a relationship with the current one?</t>
  </si>
  <si>
    <t xml:space="preserve">Champion turnover is one of the strongest leading indicators of churn. The new person didn't choose us and owes us nothing.</t>
  </si>
  <si>
    <t xml:space="preserve">Y</t>
  </si>
  <si>
    <t xml:space="preserve">Same primary contact and sponsor for 12+ months, with an established working relationship.</t>
  </si>
  <si>
    <t xml:space="preserve">A change occurred in the last 12 months, and we have met and briefed the new contact.</t>
  </si>
  <si>
    <t xml:space="preserve">A change occurred and we have not established a relationship with the replacement, or the role is vacant.</t>
  </si>
  <si>
    <t xml:space="preserve">Treat it as a re-sale. Schedule an introduction meeting within two weeks, walk through what we deliver and the value delivered to date, and re-confirm priorities.</t>
  </si>
  <si>
    <t xml:space="preserve">Did we complete the action items we committed to at the last QBR?</t>
  </si>
  <si>
    <t xml:space="preserve">This measures our side of the relationship. Missed commitments erode credibility faster than any single ticket.</t>
  </si>
  <si>
    <t xml:space="preserve">Review open commitments, assign owners and dates, and send the client a status update before the next QBR. Don't let them discover the gaps in the meeting.</t>
  </si>
  <si>
    <t xml:space="preserve">How many people at the client do we have an active, direct relationship with?</t>
  </si>
  <si>
    <t xml:space="preserve">Single-threaded relationships fail when that one person leaves, goes quiet, or loses influence.</t>
  </si>
  <si>
    <t xml:space="preserve">Identify two additional stakeholders (one executive, one operational) and create a reason to engage each: a briefing, a project, or a check-in.</t>
  </si>
  <si>
    <t xml:space="preserve">Service Experience</t>
  </si>
  <si>
    <t xml:space="preserve">Is ticket volume per user consistent with the client's own baseline?</t>
  </si>
  <si>
    <t xml:space="preserve">Spikes point to an environment or service problem. Drops are the more dangerous signal: users have given up, are routing around us, or someone else is handling their issues.</t>
  </si>
  <si>
    <t xml:space="preserve">Find the cause before the QBR. For a drop, ask the client directly who is handling issues now. For a spike, review the top ticket categories and bring a remediation plan.</t>
  </si>
  <si>
    <t xml:space="preserve">What share of requests bypass the service desk (direct texts or calls to techs, the owner, or the account manager)?</t>
  </si>
  <si>
    <t xml:space="preserve">Side-door requests signal that the client doesn't trust the front door, and they hide real workload from your metrics.</t>
  </si>
  <si>
    <t xml:space="preserve">Find out why the front door is being avoided (response time, triage experience, a favored tech). Fix the cause, then reset expectations on how to get help.</t>
  </si>
  <si>
    <t xml:space="preserve">What share of tickets are reopened or repeat a prior issue?</t>
  </si>
  <si>
    <t xml:space="preserve">Reopens are the client's experience of 'you didn't actually fix it.'</t>
  </si>
  <si>
    <t xml:space="preserve">Review reopened tickets for root cause. Open a problem record for anything recurring and report the permanent fix at the QBR.</t>
  </si>
  <si>
    <t xml:space="preserve">Are we meeting SLA on this client's tickets?</t>
  </si>
  <si>
    <t xml:space="preserve">SLA attainment is the floor of the relationship. Clients rarely praise it but always notice when it slips.</t>
  </si>
  <si>
    <t xml:space="preserve">Review SLA misses by queue and time of day, correct the dispatch or staffing issue, and disclose performance to the client before they raise it.</t>
  </si>
  <si>
    <t xml:space="preserve">How many times has the client's assigned primary tech or TAM changed in the last 12 months?</t>
  </si>
  <si>
    <t xml:space="preserve">Clients buy relationships with people. Rotating the people resets trust every time.</t>
  </si>
  <si>
    <t xml:space="preserve">Stabilize the assignment. If a change is unavoidable, make it a warm hand-off with an introduction meeting, not an email.</t>
  </si>
  <si>
    <t xml:space="preserve">Feedback Loop</t>
  </si>
  <si>
    <t xml:space="preserve">What share of CSAT surveys does the client respond to?</t>
  </si>
  <si>
    <t xml:space="preserve">Response rate matters more than score. A client that stops answering has stopped telling you how they feel, not stopped feeling it.</t>
  </si>
  <si>
    <t xml:space="preserve">Ask the primary contact how they prefer to give feedback. Consider a short quarterly relationship check-in in place of relying on ticket surveys.</t>
  </si>
  <si>
    <t xml:space="preserve">What share of CSAT responses are positive?</t>
  </si>
  <si>
    <t xml:space="preserve">Score still matters; it just isn't the whole story when response volume is low.</t>
  </si>
  <si>
    <t xml:space="preserve">Read every non-positive response from the period, identify the pattern, and address it with the client by name.</t>
  </si>
  <si>
    <t xml:space="preserve">Was every negative CSAT response followed up by a person within 2 business days?</t>
  </si>
  <si>
    <t xml:space="preserve">A negative survey with no response tells the client the survey is theater.</t>
  </si>
  <si>
    <t xml:space="preserve">Close the open loops now with a call from a manager, not an email. Route negative responses to a named person the same day going forward.</t>
  </si>
  <si>
    <t xml:space="preserve">F4</t>
  </si>
  <si>
    <t xml:space="preserve">When the client is unhappy, do they escalate through the defined path?</t>
  </si>
  <si>
    <t xml:space="preserve">Healthy clients complain early and through the right channel. Dissatisfaction that surfaces late, sideways, or at renewal means the path isn't trusted or isn't known.</t>
  </si>
  <si>
    <t xml:space="preserve">Concerns are raised promptly to the account manager, vCIO, or defined escalation contact.</t>
  </si>
  <si>
    <t xml:space="preserve">Concerns surface late or informally: in passing, only at QBRs, or through a technician.</t>
  </si>
  <si>
    <t xml:space="preserve">Concerns surface through an owner or executive bypass, third parties, formal complaints, or at renewal, or we learned of dissatisfaction after the fact.</t>
  </si>
  <si>
    <t xml:space="preserve">Re-communicate the escalation path in writing with a named person, and ask the client directly whether anything is currently unresolved.</t>
  </si>
  <si>
    <t xml:space="preserve">F5</t>
  </si>
  <si>
    <t xml:space="preserve">What is the client's overall sentiment toward us, based on recent direct conversation?</t>
  </si>
  <si>
    <t xml:space="preserve">The assessor's read of the room. Weighted low on purpose; the data items carry more of the score.</t>
  </si>
  <si>
    <t xml:space="preserve">Positive: the client expresses confidence in us and refers to us as a partner.</t>
  </si>
  <si>
    <t xml:space="preserve">Neutral or transactional: no complaints, no enthusiasm.</t>
  </si>
  <si>
    <t xml:space="preserve">Negative: frustration, skepticism, or a focus on price in recent conversations.</t>
  </si>
  <si>
    <t xml:space="preserve">Have a direct conversation and ask: 'If you were to replace us, what would the reason be?' Act on the answer.</t>
  </si>
  <si>
    <t xml:space="preserve">Commercial Health</t>
  </si>
  <si>
    <t xml:space="preserve">Is the client paying on time, and is payment timing stable?</t>
  </si>
  <si>
    <t xml:space="preserve">Slowing payment often precedes a cancellation conversation, or reflects financial strain at the client.</t>
  </si>
  <si>
    <t xml:space="preserve">Have finance and the account manager compare notes. If the cause is dissatisfaction, address it before the next invoice cycle; if it's cash flow, discuss it openly.</t>
  </si>
  <si>
    <t xml:space="preserve">What share of proposed initiatives or projects did the client approve in the last 12 months?</t>
  </si>
  <si>
    <t xml:space="preserve">Approval rate measures trust in our recommendations. Zero proposals presented is a finding about us, not the client.</t>
  </si>
  <si>
    <t xml:space="preserve">Review declined proposals for the reason (budget, timing, relevance) and re-align the roadmap to the client's stated business priorities.</t>
  </si>
  <si>
    <t xml:space="preserve">How many proposals have been open more than 60 days without a decision?</t>
  </si>
  <si>
    <t xml:space="preserve">Stalled quotes signal indecision or a quiet 'no', and they clutter the roadmap.</t>
  </si>
  <si>
    <t xml:space="preserve">Get a decision on each one: approve, defer to a specific date, or withdraw.</t>
  </si>
  <si>
    <t xml:space="preserve">C4</t>
  </si>
  <si>
    <t xml:space="preserve">Does the agreement reflect what the client actually consumes, without billing or scope friction?</t>
  </si>
  <si>
    <t xml:space="preserve">Scope and billing friction turn every invoice into a negotiation.</t>
  </si>
  <si>
    <t xml:space="preserve">Billing matches current users and devices, there are no disputes, and scope boundaries are understood.</t>
  </si>
  <si>
    <t xml:space="preserve">True-ups lag, or there is occasional pushback on out-of-scope charges.</t>
  </si>
  <si>
    <t xml:space="preserve">There is an active billing dispute, or recurring conflict over what is in scope.</t>
  </si>
  <si>
    <t xml:space="preserve">Run an agreement reconciliation, correct billing, and walk the client through what is and isn't covered, in writing.</t>
  </si>
  <si>
    <t xml:space="preserve">A1</t>
  </si>
  <si>
    <t xml:space="preserve">Strategic Alignment</t>
  </si>
  <si>
    <t xml:space="preserve">Does the client involve us before making technology decisions or purchases?</t>
  </si>
  <si>
    <t xml:space="preserve">Technology bought without us is shadow IT today and a support problem tomorrow. It also shows how the client sees our role.</t>
  </si>
  <si>
    <t xml:space="preserve">The client consults us before purchases and before engaging new technology vendors.</t>
  </si>
  <si>
    <t xml:space="preserve">The client informs us after the fact, inconsistently.</t>
  </si>
  <si>
    <t xml:space="preserve">The client regularly makes technology decisions or engages other IT providers without us.</t>
  </si>
  <si>
    <t xml:space="preserve">Ask what was purchased and why we weren't involved. Establish a simple 'check with us first' step tied to the roadmap.</t>
  </si>
  <si>
    <t xml:space="preserve">A2</t>
  </si>
  <si>
    <t xml:space="preserve">Do we know the client's business plans and priorities for the next 12 months?</t>
  </si>
  <si>
    <t xml:space="preserve">A roadmap built without the business plan is a list of technology we'd like to sell.</t>
  </si>
  <si>
    <t xml:space="preserve">We know their growth plans, major initiatives, and constraints, and the roadmap reflects them.</t>
  </si>
  <si>
    <t xml:space="preserve">Partial understanding; the roadmap is mostly technology-driven.</t>
  </si>
  <si>
    <t xml:space="preserve">We don't know their business plans.</t>
  </si>
  <si>
    <t xml:space="preserve">Use the next QBR to interview the decision-maker about business goals before presenting any technology.</t>
  </si>
  <si>
    <t xml:space="preserve">A3</t>
  </si>
  <si>
    <t xml:space="preserve">Is there a current, client-reviewed 12-month technology roadmap and budget?</t>
  </si>
  <si>
    <t xml:space="preserve">Without an agreed roadmap, every recommendation is a surprise and every invoice is unplanned.</t>
  </si>
  <si>
    <t xml:space="preserve">A roadmap and budget were reviewed with the client in the last 6 months.</t>
  </si>
  <si>
    <t xml:space="preserve">A roadmap exists but has not been reviewed with the client in 6+ months.</t>
  </si>
  <si>
    <t xml:space="preserve">No roadmap or budget exists for this client.</t>
  </si>
  <si>
    <t xml:space="preserve">Build or refresh the roadmap from the latest assessment results and review it with the decision-maker.</t>
  </si>
  <si>
    <t xml:space="preserve">A4</t>
  </si>
  <si>
    <t xml:space="preserve">How does the client view our role?</t>
  </si>
  <si>
    <t xml:space="preserve">Strategic advisors get renewed on value. Commodity providers get renewed on price, until someone is cheaper.</t>
  </si>
  <si>
    <t xml:space="preserve">Strategic advisor: we are invited into planning conversations.</t>
  </si>
  <si>
    <t xml:space="preserve">Trusted vendor: reliable, but engaged only for IT matters.</t>
  </si>
  <si>
    <t xml:space="preserve">Commodity provider: the relationship is driven by price and contract terms.</t>
  </si>
  <si>
    <t xml:space="preserve">Bring one business-relevant insight to every interaction for the next quarter, and track whether the client starts pulling us into planning.</t>
  </si>
  <si>
    <t xml:space="preserve">R1</t>
  </si>
  <si>
    <t xml:space="preserve">Risk Triggers</t>
  </si>
  <si>
    <t xml:space="preserve">Has the client had an ownership change, merger, acquisition, or senior leadership change in the last 12 months, or is one announced?</t>
  </si>
  <si>
    <t xml:space="preserve">New owners and new leaders review every vendor.</t>
  </si>
  <si>
    <t xml:space="preserve">Trigger</t>
  </si>
  <si>
    <t xml:space="preserve">No.</t>
  </si>
  <si>
    <t xml:space="preserve">Unknown: we haven't asked.</t>
  </si>
  <si>
    <t xml:space="preserve">Yes.</t>
  </si>
  <si>
    <t xml:space="preserve">Meet the new leadership, confirm who holds decision rights, and re-present the value of the agreement.</t>
  </si>
  <si>
    <t xml:space="preserve">R2</t>
  </si>
  <si>
    <t xml:space="preserve">Has the client hired, or announced plans to hire, internal IT staff?</t>
  </si>
  <si>
    <t xml:space="preserve">An internal hire changes the relationship whether we plan for it or not.</t>
  </si>
  <si>
    <t xml:space="preserve">Position for co-managed. Meet the new hire early, define responsibilities, and make them successful rather than competing with them.</t>
  </si>
  <si>
    <t xml:space="preserve">R3</t>
  </si>
  <si>
    <t xml:space="preserve">Is the client known to be talking with another provider or issuing an RFP?</t>
  </si>
  <si>
    <t xml:space="preserve">By the time it's visible, the evaluation is usually well underway.</t>
  </si>
  <si>
    <t xml:space="preserve">Hold an executive-level conversation immediately. Ask directly what prompted it and what would need to change.</t>
  </si>
  <si>
    <t xml:space="preserve">R4</t>
  </si>
  <si>
    <t xml:space="preserve">Has the client announced budget cuts, layoffs, or shown signs of financial distress?</t>
  </si>
  <si>
    <t xml:space="preserve">Budget pressure turns a managed services agreement into a line item to cut.</t>
  </si>
  <si>
    <t xml:space="preserve">Proactively offer options to right-size the agreement and protect core services before the client decides on its own.</t>
  </si>
  <si>
    <t xml:space="preserve">R5</t>
  </si>
  <si>
    <t xml:space="preserve">Has there been a major outage or security incident in the last 12 months without a completed post-incident review with the client?</t>
  </si>
  <si>
    <t xml:space="preserve">An incident without a review leaves the client to write their own version of what happened.</t>
  </si>
  <si>
    <t xml:space="preserve">No, or the review is complete.</t>
  </si>
  <si>
    <t xml:space="preserve">Unknown, or the review is scheduled but not held.</t>
  </si>
  <si>
    <t xml:space="preserve">Schedule the post-incident review now: what happened, what we changed, and what the client should expect going forward.</t>
  </si>
  <si>
    <t xml:space="preserve">Relationship Health Summary</t>
  </si>
  <si>
    <t xml:space="preserve">INTERNAL USE ONLY. Do not share with the client.</t>
  </si>
  <si>
    <t xml:space="preserve">Client</t>
  </si>
  <si>
    <t xml:space="preserve">Overall score</t>
  </si>
  <si>
    <t xml:space="preserve">Overall rating</t>
  </si>
  <si>
    <t xml:space="preserve">Items scored</t>
  </si>
  <si>
    <t xml:space="preserve">Critical items At Risk</t>
  </si>
  <si>
    <t xml:space="preserve">Renewal date</t>
  </si>
  <si>
    <t xml:space="preserve">Previous score</t>
  </si>
  <si>
    <t xml:space="preserve">Change</t>
  </si>
  <si>
    <t xml:space="preserve">Alerts</t>
  </si>
  <si>
    <t xml:space="preserve">Score by dimension</t>
  </si>
  <si>
    <t xml:space="preserve">Items</t>
  </si>
  <si>
    <t xml:space="preserve">Scored</t>
  </si>
  <si>
    <t xml:space="preserve">Score</t>
  </si>
  <si>
    <t xml:space="preserve">Weakest signal</t>
  </si>
  <si>
    <t xml:space="preserve">Agreement gross margin</t>
  </si>
  <si>
    <t xml:space="preserve">Target margin</t>
  </si>
  <si>
    <t xml:space="preserve">Profitability</t>
  </si>
  <si>
    <t xml:space="preserve">Quadrant</t>
  </si>
  <si>
    <t xml:space="preserve">Recommended play</t>
  </si>
  <si>
    <t xml:space="preserve">Items requiring action (At Risk first)</t>
  </si>
  <si>
    <t xml:space="preserve">#</t>
  </si>
  <si>
    <t xml:space="preserve">Outcome</t>
  </si>
  <si>
    <t xml:space="preserve">Scoring Thresholds</t>
  </si>
  <si>
    <t xml:space="preserve">Defaults are starting points. Tune them to your service standards; criteria text on the Assessment tab updates automatically.</t>
  </si>
  <si>
    <t xml:space="preserve">Key</t>
  </si>
  <si>
    <t xml:space="preserve">Metric</t>
  </si>
  <si>
    <t xml:space="preserve">Direction</t>
  </si>
  <si>
    <t xml:space="preserve">Satisfactory threshold</t>
  </si>
  <si>
    <t xml:space="preserve">At Risk threshold</t>
  </si>
  <si>
    <t xml:space="preserve">Rule</t>
  </si>
  <si>
    <t xml:space="preserve">Rationale</t>
  </si>
  <si>
    <t xml:space="preserve">QBRs held / contracted (last 12 mo)</t>
  </si>
  <si>
    <t xml:space="preserve">Higher is better</t>
  </si>
  <si>
    <t xml:space="preserve">Satisfactory at or above; At Risk below.</t>
  </si>
  <si>
    <t xml:space="preserve">Allows for one reschedule per year on a quarterly cadence.</t>
  </si>
  <si>
    <t xml:space="preserve">Months since last QBR held</t>
  </si>
  <si>
    <t xml:space="preserve">Lower is better</t>
  </si>
  <si>
    <t xml:space="preserve">Satisfactory at or below; At Risk above.</t>
  </si>
  <si>
    <t xml:space="preserve">A quarterly cadence plus one month of slack.</t>
  </si>
  <si>
    <t xml:space="preserve">QBR action items completed on time</t>
  </si>
  <si>
    <t xml:space="preserve">Our commitments; the bar should be high.</t>
  </si>
  <si>
    <t xml:space="preserve">Active client relationships (people)</t>
  </si>
  <si>
    <t xml:space="preserve">Executive, operational, and staff-level contacts.</t>
  </si>
  <si>
    <t xml:space="preserve">S1L</t>
  </si>
  <si>
    <t xml:space="preserve">Ticket volume vs baseline - low side</t>
  </si>
  <si>
    <t xml:space="preserve">Volume drops are the more dangerous signal.</t>
  </si>
  <si>
    <t xml:space="preserve">S1H</t>
  </si>
  <si>
    <t xml:space="preserve">Ticket volume vs baseline - high side</t>
  </si>
  <si>
    <t xml:space="preserve">Spikes point to environment or service issues.</t>
  </si>
  <si>
    <t xml:space="preserve">Requests bypassing the service desk</t>
  </si>
  <si>
    <t xml:space="preserve">Share of last-90-day tickets.</t>
  </si>
  <si>
    <t xml:space="preserve">Response and resolution SLA combined, per your PSA.</t>
  </si>
  <si>
    <t xml:space="preserve">Assigned tech / TAM changes (12 mo)</t>
  </si>
  <si>
    <t xml:space="preserve">Two or more changes in a year resets trust.</t>
  </si>
  <si>
    <t xml:space="preserve">Silence is the signal.</t>
  </si>
  <si>
    <t xml:space="preserve">Positive responses / total responses.</t>
  </si>
  <si>
    <t xml:space="preserve">Negative CSAT followed up within 2 business days</t>
  </si>
  <si>
    <t xml:space="preserve">Every negative response deserves a human follow-up.</t>
  </si>
  <si>
    <t xml:space="preserve">C1T</t>
  </si>
  <si>
    <t xml:space="preserve">Avg days to pay beyond terms</t>
  </si>
  <si>
    <t xml:space="preserve">Combined with trend; the worse result is used.</t>
  </si>
  <si>
    <t xml:space="preserve">C1R</t>
  </si>
  <si>
    <t xml:space="preserve">Increase in days to pay vs prior 90 days</t>
  </si>
  <si>
    <t xml:space="preserve">Combined with days beyond terms; the worse result is used.</t>
  </si>
  <si>
    <t xml:space="preserve">Proposal approval rate (12 mo)</t>
  </si>
  <si>
    <t xml:space="preserve">No proposals presented scores Needs Attention.</t>
  </si>
  <si>
    <t xml:space="preserve">Proposals open &gt; 60 days without decision</t>
  </si>
  <si>
    <t xml:space="preserve">Scoring settings</t>
  </si>
  <si>
    <t xml:space="preserve">Setting</t>
  </si>
  <si>
    <t xml:space="preserve">PTS_S</t>
  </si>
  <si>
    <t xml:space="preserve">Points: Satisfactory</t>
  </si>
  <si>
    <t xml:space="preserve">PTS_N</t>
  </si>
  <si>
    <t xml:space="preserve">Points: Needs Attention</t>
  </si>
  <si>
    <t xml:space="preserve">PTS_A</t>
  </si>
  <si>
    <t xml:space="preserve">Points: At Risk</t>
  </si>
  <si>
    <t xml:space="preserve">HEALTHY</t>
  </si>
  <si>
    <t xml:space="preserve">Healthy rating: minimum score</t>
  </si>
  <si>
    <t xml:space="preserve">Score at or above = Healthy.</t>
  </si>
  <si>
    <t xml:space="preserve">WATCH</t>
  </si>
  <si>
    <t xml:space="preserve">Watch rating: minimum score</t>
  </si>
  <si>
    <t xml:space="preserve">Score at or above = Watch; below = At Risk.</t>
  </si>
  <si>
    <t xml:space="preserve">CRIT</t>
  </si>
  <si>
    <t xml:space="preserve">Critical items rated At Risk force overall At Risk</t>
  </si>
  <si>
    <t xml:space="preserve">Yes</t>
  </si>
  <si>
    <t xml:space="preserve">Yes / No. Critical items are flagged on the Assessment tab.</t>
  </si>
  <si>
    <t xml:space="preserve">RENEW</t>
  </si>
  <si>
    <t xml:space="preserve">Renewal warning window (days)</t>
  </si>
  <si>
    <t xml:space="preserve">Warns when renewal is near and the rating is not Healthy.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</si>
</sst>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"/>
    <numFmt numFmtId="166" formatCode="0&quot; days&quot;;\-0&quot; days&quot;"/>
    <numFmt numFmtId="167" formatCode="0%"/>
    <numFmt numFmtId="168" formatCode="0"/>
    <numFmt numFmtId="169" formatCode="0.0&quot; mo&quot;"/>
    <numFmt numFmtId="170" formatCode="0.00\x"/>
    <numFmt numFmtId="171" formatCode="0&quot; days over terms&quot;;0&quot; days early&quot;;&quot;on terms&quot;"/>
    <numFmt numFmtId="172" formatCode="General"/>
    <numFmt numFmtId="173" formatCode="0&quot; days&quot;"/>
    <numFmt numFmtId="174" formatCode="\+0;\-0;0"/>
    <numFmt numFmtId="175" formatCode="0.00"/>
    <numFmt numFmtId="176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C8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808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color rgb="FF7A808C"/>
      <name val="Arial"/>
      <family val="0"/>
      <charset val="1"/>
    </font>
    <font>
      <sz val="9"/>
      <color rgb="FF4A4F59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7A808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11318"/>
        <bgColor rgb="FF000000"/>
      </patternFill>
    </fill>
    <fill>
      <patternFill patternType="solid">
        <fgColor rgb="FFFF2BD6"/>
        <bgColor rgb="FFFF00FF"/>
      </patternFill>
    </fill>
    <fill>
      <patternFill patternType="solid">
        <fgColor rgb="FFFFF7D6"/>
        <bgColor rgb="FFFFF2CC"/>
      </patternFill>
    </fill>
    <fill>
      <patternFill patternType="solid">
        <fgColor rgb="FFF2F4F7"/>
        <bgColor rgb="FFF7F8FA"/>
      </patternFill>
    </fill>
    <fill>
      <patternFill patternType="solid">
        <fgColor rgb="FF23262E"/>
        <bgColor rgb="FF111318"/>
      </patternFill>
    </fill>
    <fill>
      <patternFill patternType="solid">
        <fgColor rgb="FFF7F8FA"/>
        <bgColor rgb="FFF2F4F7"/>
      </patternFill>
    </fill>
    <fill>
      <patternFill patternType="solid">
        <fgColor rgb="FFE6F9FC"/>
        <bgColor rgb="FFEAF7EE"/>
      </patternFill>
    </fill>
    <fill>
      <patternFill patternType="solid">
        <fgColor rgb="FFEAF2FF"/>
        <bgColor rgb="FFF2F4F7"/>
      </patternFill>
    </fill>
    <fill>
      <patternFill patternType="solid">
        <fgColor rgb="FFF3EAFF"/>
        <bgColor rgb="FFFDEAF6"/>
      </patternFill>
    </fill>
    <fill>
      <patternFill patternType="solid">
        <fgColor rgb="FFEAF7EE"/>
        <bgColor rgb="FFE6F9FC"/>
      </patternFill>
    </fill>
    <fill>
      <patternFill patternType="solid">
        <fgColor rgb="FFFFF4E6"/>
        <bgColor rgb="FFFFF7D6"/>
      </patternFill>
    </fill>
    <fill>
      <patternFill patternType="solid">
        <fgColor rgb="FFFDEAF6"/>
        <bgColor rgb="FFF3EA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 diagonalUp="false" diagonalDown="false">
      <left style="thin">
        <color rgb="FFC9CED6"/>
      </left>
      <right/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6100"/>
        <sz val="14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4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4F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2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2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2BD6"/>
      <rgbColor rgb="FF00FFFF"/>
      <rgbColor rgb="FF9C0006"/>
      <rgbColor rgb="FF006100"/>
      <rgbColor rgb="FF000080"/>
      <rgbColor rgb="FF9C5700"/>
      <rgbColor rgb="FF800080"/>
      <rgbColor rgb="FF008080"/>
      <rgbColor rgb="FFF3EAFF"/>
      <rgbColor rgb="FF7A808C"/>
      <rgbColor rgb="FFF7F8FA"/>
      <rgbColor rgb="FF993366"/>
      <rgbColor rgb="FFFFF7D6"/>
      <rgbColor rgb="FFE6F9FC"/>
      <rgbColor rgb="FF660066"/>
      <rgbColor rgb="FFFF8080"/>
      <rgbColor rgb="FF0563C1"/>
      <rgbColor rgb="FFC9CED6"/>
      <rgbColor rgb="FF000080"/>
      <rgbColor rgb="FFFF00FF"/>
      <rgbColor rgb="FFFFF4E6"/>
      <rgbColor rgb="FF00FFFF"/>
      <rgbColor rgb="FF800080"/>
      <rgbColor rgb="FF800000"/>
      <rgbColor rgb="FF008080"/>
      <rgbColor rgb="FF0000FF"/>
      <rgbColor rgb="FF00C8E8"/>
      <rgbColor rgb="FFEAF7EE"/>
      <rgbColor rgb="FFC6EFCE"/>
      <rgbColor rgb="FFFFEB9C"/>
      <rgbColor rgb="FFEAF2FF"/>
      <rgbColor rgb="FFFDEAF6"/>
      <rgbColor rgb="FFF2F4F7"/>
      <rgbColor rgb="FFFFC7CE"/>
      <rgbColor rgb="FF3366FF"/>
      <rgbColor rgb="FF33CCCC"/>
      <rgbColor rgb="FF99CC00"/>
      <rgbColor rgb="FFFFCC00"/>
      <rgbColor rgb="FFFF9900"/>
      <rgbColor rgb="FFFF6600"/>
      <rgbColor rgb="FF4A4F59"/>
      <rgbColor rgb="FF969696"/>
      <rgbColor rgb="FF003366"/>
      <rgbColor rgb="FF339966"/>
      <rgbColor rgb="FF111318"/>
      <rgbColor rgb="FF333300"/>
      <rgbColor rgb="FF7F4F00"/>
      <rgbColor rgb="FF993366"/>
      <rgbColor rgb="FF333399"/>
      <rgbColor rgb="FF2326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SPCulture/msp-cultur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2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3" t="s">
        <v>1</v>
      </c>
      <c r="F1" s="3"/>
    </row>
    <row r="2" customFormat="false" ht="18" hidden="false" customHeight="true" outlineLevel="0" collapsed="false">
      <c r="A2" s="4" t="s">
        <v>2</v>
      </c>
      <c r="B2" s="2"/>
      <c r="C2" s="2"/>
      <c r="D2" s="2"/>
      <c r="E2" s="3"/>
      <c r="F2" s="3"/>
    </row>
    <row r="3" customFormat="false" ht="3" hidden="false" customHeight="true" outlineLevel="0" collapsed="false">
      <c r="A3" s="5"/>
      <c r="B3" s="5"/>
      <c r="C3" s="5"/>
      <c r="D3" s="5"/>
      <c r="E3" s="5"/>
      <c r="F3" s="5"/>
    </row>
    <row r="5" customFormat="false" ht="15" hidden="false" customHeight="false" outlineLevel="0" collapsed="false">
      <c r="A5" s="6" t="s">
        <v>3</v>
      </c>
    </row>
    <row r="6" customFormat="false" ht="45" hidden="false" customHeight="true" outlineLevel="0" collapsed="false">
      <c r="A6" s="7" t="s">
        <v>4</v>
      </c>
      <c r="B6" s="7"/>
      <c r="C6" s="7"/>
      <c r="D6" s="7"/>
      <c r="E6" s="7"/>
      <c r="F6" s="7"/>
    </row>
    <row r="8" customFormat="false" ht="15" hidden="false" customHeight="false" outlineLevel="0" collapsed="false">
      <c r="A8" s="8" t="s">
        <v>5</v>
      </c>
    </row>
    <row r="9" customFormat="false" ht="30" hidden="false" customHeight="true" outlineLevel="0" collapsed="false">
      <c r="A9" s="7" t="s">
        <v>6</v>
      </c>
      <c r="B9" s="7"/>
      <c r="C9" s="7"/>
      <c r="D9" s="7"/>
      <c r="E9" s="7"/>
      <c r="F9" s="7"/>
    </row>
    <row r="10" customFormat="false" ht="30" hidden="false" customHeight="true" outlineLevel="0" collapsed="false">
      <c r="A10" s="7" t="s">
        <v>7</v>
      </c>
      <c r="B10" s="7"/>
      <c r="C10" s="7"/>
      <c r="D10" s="7"/>
      <c r="E10" s="7"/>
      <c r="F10" s="7"/>
    </row>
    <row r="12" customFormat="false" ht="15" hidden="false" customHeight="false" outlineLevel="0" collapsed="false">
      <c r="A12" s="8" t="s">
        <v>8</v>
      </c>
    </row>
    <row r="13" customFormat="false" ht="15" hidden="false" customHeight="true" outlineLevel="0" collapsed="false">
      <c r="A13" s="7" t="s">
        <v>9</v>
      </c>
      <c r="B13" s="7"/>
      <c r="C13" s="7"/>
      <c r="D13" s="7"/>
      <c r="E13" s="7"/>
      <c r="F13" s="7"/>
    </row>
    <row r="14" customFormat="false" ht="15" hidden="false" customHeight="true" outlineLevel="0" collapsed="false">
      <c r="A14" s="7" t="s">
        <v>10</v>
      </c>
      <c r="B14" s="7"/>
      <c r="C14" s="7"/>
      <c r="D14" s="7"/>
      <c r="E14" s="7"/>
      <c r="F14" s="7"/>
    </row>
    <row r="15" customFormat="false" ht="15" hidden="false" customHeight="true" outlineLevel="0" collapsed="false">
      <c r="A15" s="7" t="s">
        <v>11</v>
      </c>
      <c r="B15" s="7"/>
      <c r="C15" s="7"/>
      <c r="D15" s="7"/>
      <c r="E15" s="7"/>
      <c r="F15" s="7"/>
    </row>
    <row r="16" customFormat="false" ht="15" hidden="false" customHeight="true" outlineLevel="0" collapsed="false">
      <c r="A16" s="7" t="s">
        <v>12</v>
      </c>
      <c r="B16" s="7"/>
      <c r="C16" s="7"/>
      <c r="D16" s="7"/>
      <c r="E16" s="7"/>
      <c r="F16" s="7"/>
    </row>
    <row r="18" customFormat="false" ht="15" hidden="false" customHeight="false" outlineLevel="0" collapsed="false">
      <c r="A18" s="8" t="s">
        <v>13</v>
      </c>
    </row>
    <row r="19" customFormat="false" ht="15" hidden="false" customHeight="true" outlineLevel="0" collapsed="false">
      <c r="A19" s="7" t="s">
        <v>14</v>
      </c>
      <c r="B19" s="7"/>
      <c r="C19" s="7"/>
      <c r="D19" s="7"/>
      <c r="E19" s="7"/>
      <c r="F19" s="7"/>
    </row>
    <row r="20" customFormat="false" ht="15" hidden="false" customHeight="true" outlineLevel="0" collapsed="false">
      <c r="A20" s="7" t="s">
        <v>15</v>
      </c>
      <c r="B20" s="7"/>
      <c r="C20" s="7"/>
      <c r="D20" s="7"/>
      <c r="E20" s="7"/>
      <c r="F20" s="7"/>
    </row>
    <row r="21" customFormat="false" ht="30" hidden="false" customHeight="true" outlineLevel="0" collapsed="false">
      <c r="A21" s="7" t="s">
        <v>16</v>
      </c>
      <c r="B21" s="7"/>
      <c r="C21" s="7"/>
      <c r="D21" s="7"/>
      <c r="E21" s="7"/>
      <c r="F21" s="7"/>
    </row>
    <row r="22" customFormat="false" ht="15" hidden="false" customHeight="true" outlineLevel="0" collapsed="false">
      <c r="A22" s="7" t="s">
        <v>17</v>
      </c>
      <c r="B22" s="7"/>
      <c r="C22" s="7"/>
      <c r="D22" s="7"/>
      <c r="E22" s="7"/>
      <c r="F22" s="7"/>
    </row>
    <row r="23" customFormat="false" ht="30" hidden="false" customHeight="true" outlineLevel="0" collapsed="false">
      <c r="A23" s="7" t="s">
        <v>18</v>
      </c>
      <c r="B23" s="7"/>
      <c r="C23" s="7"/>
      <c r="D23" s="7"/>
      <c r="E23" s="7"/>
      <c r="F23" s="7"/>
    </row>
    <row r="24" customFormat="false" ht="15" hidden="false" customHeight="true" outlineLevel="0" collapsed="false">
      <c r="A24" s="7" t="s">
        <v>19</v>
      </c>
      <c r="B24" s="7"/>
      <c r="C24" s="7"/>
      <c r="D24" s="7"/>
      <c r="E24" s="7"/>
      <c r="F24" s="7"/>
    </row>
    <row r="26" customFormat="false" ht="15" hidden="false" customHeight="false" outlineLevel="0" collapsed="false">
      <c r="A26" s="8" t="s">
        <v>20</v>
      </c>
    </row>
    <row r="27" customFormat="false" ht="15" hidden="false" customHeight="true" outlineLevel="0" collapsed="false">
      <c r="A27" s="7" t="s">
        <v>21</v>
      </c>
      <c r="B27" s="7"/>
      <c r="C27" s="7"/>
      <c r="D27" s="7"/>
      <c r="E27" s="7"/>
      <c r="F27" s="7"/>
    </row>
    <row r="28" customFormat="false" ht="15" hidden="false" customHeight="true" outlineLevel="0" collapsed="false">
      <c r="A28" s="7" t="s">
        <v>22</v>
      </c>
      <c r="B28" s="7"/>
      <c r="C28" s="7"/>
      <c r="D28" s="7"/>
      <c r="E28" s="7"/>
      <c r="F28" s="7"/>
    </row>
    <row r="29" customFormat="false" ht="15" hidden="false" customHeight="true" outlineLevel="0" collapsed="false">
      <c r="A29" s="7" t="s">
        <v>23</v>
      </c>
      <c r="B29" s="7"/>
      <c r="C29" s="7"/>
      <c r="D29" s="7"/>
      <c r="E29" s="7"/>
      <c r="F29" s="7"/>
    </row>
    <row r="31" customFormat="false" ht="15" hidden="false" customHeight="false" outlineLevel="0" collapsed="false">
      <c r="A31" s="8" t="s">
        <v>24</v>
      </c>
    </row>
    <row r="32" customFormat="false" ht="30" hidden="false" customHeight="true" outlineLevel="0" collapsed="false">
      <c r="A32" s="7" t="s">
        <v>25</v>
      </c>
      <c r="B32" s="7"/>
      <c r="C32" s="7"/>
      <c r="D32" s="7"/>
      <c r="E32" s="7"/>
      <c r="F32" s="7"/>
    </row>
    <row r="33" customFormat="false" ht="30" hidden="false" customHeight="true" outlineLevel="0" collapsed="false">
      <c r="A33" s="7" t="s">
        <v>26</v>
      </c>
      <c r="B33" s="7"/>
      <c r="C33" s="7"/>
      <c r="D33" s="7"/>
      <c r="E33" s="7"/>
      <c r="F33" s="7"/>
    </row>
    <row r="34" customFormat="false" ht="15" hidden="false" customHeight="true" outlineLevel="0" collapsed="false">
      <c r="A34" s="7" t="s">
        <v>27</v>
      </c>
      <c r="B34" s="7"/>
      <c r="C34" s="7"/>
      <c r="D34" s="7"/>
      <c r="E34" s="7"/>
      <c r="F34" s="7"/>
    </row>
    <row r="35" customFormat="false" ht="15" hidden="false" customHeight="true" outlineLevel="0" collapsed="false">
      <c r="A35" s="7" t="s">
        <v>28</v>
      </c>
      <c r="B35" s="7"/>
      <c r="C35" s="7"/>
      <c r="D35" s="7"/>
      <c r="E35" s="7"/>
      <c r="F35" s="7"/>
    </row>
    <row r="37" customFormat="false" ht="15" hidden="false" customHeight="false" outlineLevel="0" collapsed="false">
      <c r="A37" s="8" t="s">
        <v>29</v>
      </c>
    </row>
    <row r="38" customFormat="false" ht="15" hidden="false" customHeight="true" outlineLevel="0" collapsed="false">
      <c r="A38" s="7" t="s">
        <v>30</v>
      </c>
      <c r="B38" s="7"/>
      <c r="C38" s="7"/>
      <c r="D38" s="7"/>
      <c r="E38" s="7"/>
      <c r="F38" s="7"/>
    </row>
    <row r="39" customFormat="false" ht="15" hidden="false" customHeight="true" outlineLevel="0" collapsed="false">
      <c r="A39" s="7" t="s">
        <v>31</v>
      </c>
      <c r="B39" s="7"/>
      <c r="C39" s="7"/>
      <c r="D39" s="7"/>
      <c r="E39" s="7"/>
      <c r="F39" s="7"/>
    </row>
    <row r="40" customFormat="false" ht="15" hidden="false" customHeight="true" outlineLevel="0" collapsed="false">
      <c r="A40" s="7" t="s">
        <v>32</v>
      </c>
      <c r="B40" s="7"/>
      <c r="C40" s="7"/>
      <c r="D40" s="7"/>
      <c r="E40" s="7"/>
      <c r="F40" s="7"/>
    </row>
    <row r="41" customFormat="false" ht="15" hidden="false" customHeight="true" outlineLevel="0" collapsed="false">
      <c r="A41" s="7" t="s">
        <v>33</v>
      </c>
      <c r="B41" s="7"/>
      <c r="C41" s="7"/>
      <c r="D41" s="7"/>
      <c r="E41" s="7"/>
      <c r="F41" s="7"/>
    </row>
    <row r="43" customFormat="false" ht="15" hidden="false" customHeight="false" outlineLevel="0" collapsed="false">
      <c r="A43" s="8" t="s">
        <v>34</v>
      </c>
    </row>
    <row r="44" customFormat="false" ht="15" hidden="false" customHeight="false" outlineLevel="0" collapsed="false">
      <c r="A44" s="9" t="s">
        <v>35</v>
      </c>
      <c r="B44" s="10" t="s">
        <v>36</v>
      </c>
    </row>
    <row r="45" customFormat="false" ht="15" hidden="false" customHeight="false" outlineLevel="0" collapsed="false">
      <c r="A45" s="11" t="s">
        <v>37</v>
      </c>
      <c r="B45" s="10" t="s">
        <v>38</v>
      </c>
    </row>
    <row r="46" customFormat="false" ht="15" hidden="false" customHeight="false" outlineLevel="0" collapsed="false">
      <c r="A46" s="12" t="s">
        <v>39</v>
      </c>
      <c r="B46" s="10" t="s">
        <v>40</v>
      </c>
    </row>
    <row r="48" customFormat="false" ht="15" hidden="false" customHeight="false" outlineLevel="0" collapsed="false">
      <c r="A48" s="8" t="s">
        <v>41</v>
      </c>
    </row>
    <row r="49" customFormat="false" ht="15" hidden="false" customHeight="false" outlineLevel="0" collapsed="false">
      <c r="A49" s="13" t="s">
        <v>42</v>
      </c>
      <c r="B49" s="10" t="s">
        <v>43</v>
      </c>
    </row>
    <row r="50" customFormat="false" ht="15" hidden="false" customHeight="false" outlineLevel="0" collapsed="false">
      <c r="A50" s="13" t="s">
        <v>44</v>
      </c>
      <c r="B50" s="10" t="s">
        <v>45</v>
      </c>
    </row>
    <row r="51" customFormat="false" ht="15" hidden="false" customHeight="false" outlineLevel="0" collapsed="false">
      <c r="A51" s="13" t="s">
        <v>46</v>
      </c>
      <c r="B51" s="10" t="s">
        <v>47</v>
      </c>
    </row>
    <row r="52" customFormat="false" ht="15" hidden="false" customHeight="false" outlineLevel="0" collapsed="false">
      <c r="A52" s="13" t="s">
        <v>48</v>
      </c>
      <c r="B52" s="10" t="s">
        <v>49</v>
      </c>
    </row>
    <row r="53" customFormat="false" ht="15" hidden="false" customHeight="false" outlineLevel="0" collapsed="false">
      <c r="A53" s="13" t="s">
        <v>50</v>
      </c>
      <c r="B53" s="10" t="s">
        <v>51</v>
      </c>
    </row>
    <row r="55" customFormat="false" ht="15" hidden="false" customHeight="false" outlineLevel="0" collapsed="false">
      <c r="A55" s="8" t="s">
        <v>52</v>
      </c>
    </row>
    <row r="56" customFormat="false" ht="30" hidden="false" customHeight="true" outlineLevel="0" collapsed="false">
      <c r="A56" s="7" t="s">
        <v>53</v>
      </c>
      <c r="B56" s="7"/>
      <c r="C56" s="7"/>
      <c r="D56" s="7"/>
      <c r="E56" s="7"/>
      <c r="F56" s="7"/>
    </row>
    <row r="57" customFormat="false" ht="15" hidden="false" customHeight="false" outlineLevel="0" collapsed="false">
      <c r="A57" s="14" t="s">
        <v>54</v>
      </c>
    </row>
    <row r="59" customFormat="false" ht="15" hidden="false" customHeight="false" outlineLevel="0" collapsed="false">
      <c r="A59" s="8" t="s">
        <v>55</v>
      </c>
    </row>
    <row r="60" customFormat="false" ht="15" hidden="false" customHeight="false" outlineLevel="0" collapsed="false">
      <c r="A60" s="15" t="s">
        <v>56</v>
      </c>
      <c r="B60" s="15"/>
      <c r="C60" s="15"/>
      <c r="D60" s="15"/>
      <c r="E60" s="15"/>
      <c r="F60" s="15"/>
    </row>
    <row r="61" customFormat="false" ht="15" hidden="false" customHeight="false" outlineLevel="0" collapsed="false">
      <c r="A61" s="15" t="s">
        <v>57</v>
      </c>
      <c r="B61" s="15"/>
      <c r="C61" s="15"/>
      <c r="D61" s="15"/>
      <c r="E61" s="15"/>
      <c r="F61" s="15"/>
    </row>
    <row r="62" customFormat="false" ht="15" hidden="false" customHeight="false" outlineLevel="0" collapsed="false">
      <c r="A62" s="15" t="s">
        <v>58</v>
      </c>
      <c r="B62" s="15"/>
      <c r="C62" s="15"/>
      <c r="D62" s="15"/>
      <c r="E62" s="15"/>
      <c r="F62" s="15"/>
    </row>
    <row r="64" customFormat="false" ht="15" hidden="false" customHeight="false" outlineLevel="0" collapsed="false">
      <c r="A64" s="16" t="s">
        <v>59</v>
      </c>
    </row>
    <row r="65" customFormat="false" ht="15" hidden="false" customHeight="false" outlineLevel="0" collapsed="false">
      <c r="A65" s="12" t="s">
        <v>60</v>
      </c>
    </row>
  </sheetData>
  <mergeCells count="29">
    <mergeCell ref="E1:F2"/>
    <mergeCell ref="A6:F6"/>
    <mergeCell ref="A9:F9"/>
    <mergeCell ref="A10:F10"/>
    <mergeCell ref="A13:F13"/>
    <mergeCell ref="A14:F14"/>
    <mergeCell ref="A15:F15"/>
    <mergeCell ref="A16:F16"/>
    <mergeCell ref="A19:F19"/>
    <mergeCell ref="A20:F20"/>
    <mergeCell ref="A21:F21"/>
    <mergeCell ref="A22:F22"/>
    <mergeCell ref="A23:F23"/>
    <mergeCell ref="A24:F24"/>
    <mergeCell ref="A27:F27"/>
    <mergeCell ref="A28:F28"/>
    <mergeCell ref="A29:F29"/>
    <mergeCell ref="A32:F32"/>
    <mergeCell ref="A33:F33"/>
    <mergeCell ref="A34:F34"/>
    <mergeCell ref="A35:F35"/>
    <mergeCell ref="A38:F38"/>
    <mergeCell ref="A39:F39"/>
    <mergeCell ref="A40:F40"/>
    <mergeCell ref="A41:F41"/>
    <mergeCell ref="A56:F56"/>
    <mergeCell ref="A60:F60"/>
    <mergeCell ref="A61:F61"/>
    <mergeCell ref="A62:F62"/>
  </mergeCells>
  <hyperlinks>
    <hyperlink ref="A57" r:id="rId1" display="https://github.com/MSPCulture/msp-culture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61</v>
      </c>
      <c r="B1" s="2"/>
      <c r="C1" s="2"/>
      <c r="D1" s="2"/>
    </row>
    <row r="2" customFormat="false" ht="18" hidden="false" customHeight="true" outlineLevel="0" collapsed="false">
      <c r="A2" s="4" t="s">
        <v>62</v>
      </c>
      <c r="B2" s="2"/>
      <c r="C2" s="2"/>
      <c r="D2" s="2"/>
    </row>
    <row r="3" customFormat="false" ht="3" hidden="false" customHeight="true" outlineLevel="0" collapsed="false">
      <c r="A3" s="5"/>
      <c r="B3" s="5"/>
      <c r="C3" s="5"/>
      <c r="D3" s="5"/>
    </row>
    <row r="4" customFormat="false" ht="30" hidden="false" customHeight="true" outlineLevel="0" collapsed="false">
      <c r="A4" s="17" t="s">
        <v>63</v>
      </c>
      <c r="B4" s="17" t="s">
        <v>64</v>
      </c>
      <c r="C4" s="17" t="s">
        <v>39</v>
      </c>
      <c r="D4" s="17" t="s">
        <v>65</v>
      </c>
    </row>
    <row r="5" customFormat="false" ht="15" hidden="false" customHeight="false" outlineLevel="0" collapsed="false">
      <c r="A5" s="18" t="s">
        <v>66</v>
      </c>
      <c r="B5" s="9"/>
      <c r="C5" s="19" t="s">
        <v>67</v>
      </c>
      <c r="D5" s="20" t="s">
        <v>68</v>
      </c>
    </row>
    <row r="6" customFormat="false" ht="15" hidden="false" customHeight="false" outlineLevel="0" collapsed="false">
      <c r="A6" s="18" t="s">
        <v>69</v>
      </c>
      <c r="B6" s="9"/>
      <c r="C6" s="19" t="s">
        <v>70</v>
      </c>
      <c r="D6" s="20"/>
    </row>
    <row r="7" customFormat="false" ht="15" hidden="false" customHeight="false" outlineLevel="0" collapsed="false">
      <c r="A7" s="18" t="s">
        <v>71</v>
      </c>
      <c r="B7" s="21"/>
      <c r="C7" s="22" t="n">
        <v>46310</v>
      </c>
      <c r="D7" s="20" t="s">
        <v>72</v>
      </c>
    </row>
    <row r="8" customFormat="false" ht="15" hidden="false" customHeight="false" outlineLevel="0" collapsed="false">
      <c r="A8" s="18" t="s">
        <v>73</v>
      </c>
      <c r="B8" s="9"/>
      <c r="C8" s="19" t="s">
        <v>74</v>
      </c>
      <c r="D8" s="20" t="s">
        <v>75</v>
      </c>
    </row>
    <row r="9" customFormat="false" ht="15" hidden="false" customHeight="false" outlineLevel="0" collapsed="false">
      <c r="A9" s="18" t="s">
        <v>76</v>
      </c>
      <c r="B9" s="9"/>
      <c r="C9" s="19" t="s">
        <v>77</v>
      </c>
      <c r="D9" s="20"/>
    </row>
    <row r="10" customFormat="false" ht="15" hidden="false" customHeight="false" outlineLevel="0" collapsed="false">
      <c r="A10" s="18" t="s">
        <v>78</v>
      </c>
      <c r="B10" s="9"/>
      <c r="C10" s="19" t="s">
        <v>79</v>
      </c>
      <c r="D10" s="20"/>
    </row>
    <row r="11" customFormat="false" ht="15" hidden="false" customHeight="false" outlineLevel="0" collapsed="false">
      <c r="A11" s="18" t="s">
        <v>80</v>
      </c>
      <c r="B11" s="9"/>
      <c r="C11" s="19" t="s">
        <v>81</v>
      </c>
      <c r="D11" s="20" t="s">
        <v>82</v>
      </c>
    </row>
    <row r="12" customFormat="false" ht="15" hidden="false" customHeight="false" outlineLevel="0" collapsed="false">
      <c r="A12" s="18" t="s">
        <v>83</v>
      </c>
      <c r="B12" s="9"/>
      <c r="C12" s="19" t="s">
        <v>84</v>
      </c>
      <c r="D12" s="20"/>
    </row>
    <row r="13" customFormat="false" ht="15" hidden="false" customHeight="false" outlineLevel="0" collapsed="false">
      <c r="A13" s="18" t="s">
        <v>85</v>
      </c>
      <c r="B13" s="21"/>
      <c r="C13" s="22" t="n">
        <v>44986</v>
      </c>
      <c r="D13" s="20"/>
    </row>
    <row r="14" customFormat="false" ht="15" hidden="false" customHeight="false" outlineLevel="0" collapsed="false">
      <c r="A14" s="18" t="s">
        <v>86</v>
      </c>
      <c r="B14" s="21"/>
      <c r="C14" s="22" t="n">
        <v>46446</v>
      </c>
      <c r="D14" s="20"/>
    </row>
    <row r="15" customFormat="false" ht="15" hidden="false" customHeight="false" outlineLevel="0" collapsed="false">
      <c r="A15" s="18" t="s">
        <v>87</v>
      </c>
      <c r="B15" s="23" t="str">
        <f aca="false">IF(OR(B14="",B7=""),"",B14-B7)</f>
        <v/>
      </c>
      <c r="C15" s="19"/>
      <c r="D15" s="20" t="s">
        <v>88</v>
      </c>
    </row>
    <row r="16" customFormat="false" ht="15" hidden="false" customHeight="false" outlineLevel="0" collapsed="false">
      <c r="A16" s="18" t="s">
        <v>89</v>
      </c>
      <c r="B16" s="9"/>
      <c r="C16" s="19" t="n">
        <v>48</v>
      </c>
      <c r="D16" s="20" t="s">
        <v>90</v>
      </c>
    </row>
    <row r="17" customFormat="false" ht="15" hidden="false" customHeight="false" outlineLevel="0" collapsed="false">
      <c r="A17" s="18" t="s">
        <v>91</v>
      </c>
      <c r="B17" s="9"/>
      <c r="C17" s="19" t="n">
        <v>4</v>
      </c>
      <c r="D17" s="20" t="s">
        <v>92</v>
      </c>
    </row>
    <row r="18" customFormat="false" ht="15" hidden="false" customHeight="false" outlineLevel="0" collapsed="false">
      <c r="A18" s="18" t="s">
        <v>93</v>
      </c>
      <c r="B18" s="9"/>
      <c r="C18" s="19" t="n">
        <v>30</v>
      </c>
      <c r="D18" s="20"/>
    </row>
    <row r="19" customFormat="false" ht="15" hidden="false" customHeight="false" outlineLevel="0" collapsed="false">
      <c r="A19" s="18" t="s">
        <v>94</v>
      </c>
      <c r="B19" s="24"/>
      <c r="C19" s="25" t="n">
        <v>0.42</v>
      </c>
      <c r="D19" s="20" t="s">
        <v>95</v>
      </c>
    </row>
    <row r="20" customFormat="false" ht="15" hidden="false" customHeight="false" outlineLevel="0" collapsed="false">
      <c r="A20" s="18" t="s">
        <v>96</v>
      </c>
      <c r="B20" s="24"/>
      <c r="C20" s="25" t="n">
        <v>0.5</v>
      </c>
      <c r="D20" s="20" t="s">
        <v>97</v>
      </c>
    </row>
    <row r="21" customFormat="false" ht="15" hidden="false" customHeight="false" outlineLevel="0" collapsed="false">
      <c r="A21" s="18" t="s">
        <v>98</v>
      </c>
      <c r="B21" s="9"/>
      <c r="C21" s="19" t="n">
        <v>78</v>
      </c>
      <c r="D21" s="20" t="s">
        <v>99</v>
      </c>
    </row>
    <row r="22" customFormat="false" ht="15" hidden="false" customHeight="false" outlineLevel="0" collapsed="false">
      <c r="A22" s="18" t="s">
        <v>100</v>
      </c>
      <c r="B22" s="21"/>
      <c r="C22" s="22" t="n">
        <v>46217</v>
      </c>
      <c r="D22" s="20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44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" t="s">
        <v>101</v>
      </c>
      <c r="B2" s="2"/>
      <c r="C2" s="2"/>
      <c r="D2" s="2"/>
      <c r="E2" s="2"/>
      <c r="F2" s="2"/>
      <c r="G2" s="2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30" hidden="false" customHeight="true" outlineLevel="0" collapsed="false">
      <c r="A4" s="17" t="s">
        <v>102</v>
      </c>
      <c r="B4" s="17" t="s">
        <v>103</v>
      </c>
      <c r="C4" s="17" t="s">
        <v>35</v>
      </c>
      <c r="D4" s="17" t="s">
        <v>64</v>
      </c>
      <c r="E4" s="17" t="s">
        <v>39</v>
      </c>
      <c r="F4" s="17" t="s">
        <v>104</v>
      </c>
      <c r="G4" s="17" t="s">
        <v>105</v>
      </c>
    </row>
    <row r="5" customFormat="false" ht="22.35" hidden="false" customHeight="false" outlineLevel="0" collapsed="false">
      <c r="A5" s="26" t="s">
        <v>106</v>
      </c>
      <c r="B5" s="27" t="s">
        <v>107</v>
      </c>
      <c r="C5" s="27" t="s">
        <v>108</v>
      </c>
      <c r="D5" s="28"/>
      <c r="E5" s="29" t="n">
        <v>3</v>
      </c>
      <c r="F5" s="20" t="s">
        <v>109</v>
      </c>
      <c r="G5" s="30" t="str">
        <f aca="false">IF(OR($D$5="",'Client Info'!$B$17=""),"",IF('Client Info'!$B$17=0,"",$D$5/'Client Info'!$B$17))</f>
        <v/>
      </c>
    </row>
    <row r="6" customFormat="false" ht="15" hidden="false" customHeight="false" outlineLevel="0" collapsed="false">
      <c r="A6" s="31" t="s">
        <v>110</v>
      </c>
      <c r="B6" s="32" t="s">
        <v>111</v>
      </c>
      <c r="C6" s="32" t="s">
        <v>112</v>
      </c>
      <c r="D6" s="33"/>
      <c r="E6" s="34" t="n">
        <v>46254</v>
      </c>
      <c r="F6" s="35" t="s">
        <v>113</v>
      </c>
      <c r="G6" s="36" t="str">
        <f aca="false">IF(OR($D$6="",'Client Info'!$B$7=""),"",ROUND(('Client Info'!$B$7-$D$6)/30.44,1))</f>
        <v/>
      </c>
    </row>
    <row r="7" customFormat="false" ht="15" hidden="false" customHeight="false" outlineLevel="0" collapsed="false">
      <c r="A7" s="26" t="s">
        <v>114</v>
      </c>
      <c r="B7" s="27" t="s">
        <v>115</v>
      </c>
      <c r="C7" s="27" t="s">
        <v>116</v>
      </c>
      <c r="D7" s="28"/>
      <c r="E7" s="29" t="n">
        <v>6</v>
      </c>
      <c r="F7" s="20" t="s">
        <v>117</v>
      </c>
      <c r="G7" s="30" t="str">
        <f aca="false">IF(OR($D$7="",$D$8=""),"",IF($D$7=0,"none",$D$8/$D$7))</f>
        <v/>
      </c>
    </row>
    <row r="8" customFormat="false" ht="15" hidden="false" customHeight="false" outlineLevel="0" collapsed="false">
      <c r="A8" s="26" t="s">
        <v>114</v>
      </c>
      <c r="B8" s="27" t="s">
        <v>115</v>
      </c>
      <c r="C8" s="27" t="s">
        <v>118</v>
      </c>
      <c r="D8" s="28"/>
      <c r="E8" s="29" t="n">
        <v>5</v>
      </c>
      <c r="F8" s="20" t="s">
        <v>119</v>
      </c>
      <c r="G8" s="30"/>
    </row>
    <row r="9" customFormat="false" ht="15" hidden="false" customHeight="false" outlineLevel="0" collapsed="false">
      <c r="A9" s="31" t="s">
        <v>120</v>
      </c>
      <c r="B9" s="32" t="s">
        <v>121</v>
      </c>
      <c r="C9" s="32" t="s">
        <v>122</v>
      </c>
      <c r="D9" s="28"/>
      <c r="E9" s="29" t="n">
        <v>2</v>
      </c>
      <c r="F9" s="35" t="s">
        <v>123</v>
      </c>
      <c r="G9" s="37" t="str">
        <f aca="false">IF($D$9="","",$D$9)</f>
        <v/>
      </c>
    </row>
    <row r="10" customFormat="false" ht="15" hidden="false" customHeight="false" outlineLevel="0" collapsed="false">
      <c r="A10" s="26" t="s">
        <v>124</v>
      </c>
      <c r="B10" s="27" t="s">
        <v>125</v>
      </c>
      <c r="C10" s="27" t="s">
        <v>126</v>
      </c>
      <c r="D10" s="28"/>
      <c r="E10" s="29" t="n">
        <v>61</v>
      </c>
      <c r="F10" s="20" t="s">
        <v>127</v>
      </c>
      <c r="G10" s="38" t="str">
        <f aca="false">IF(OR($D$10="",$D$11="",'Client Info'!$B$16=""),"",IF(OR($D$11=0,'Client Info'!$B$16=0),"",($D$10/3/'Client Info'!$B$16)/($D$11/12/IF($D$12="",'Client Info'!$B$16,$D$12))))</f>
        <v/>
      </c>
    </row>
    <row r="11" customFormat="false" ht="15" hidden="false" customHeight="false" outlineLevel="0" collapsed="false">
      <c r="A11" s="26" t="s">
        <v>124</v>
      </c>
      <c r="B11" s="27" t="s">
        <v>125</v>
      </c>
      <c r="C11" s="27" t="s">
        <v>128</v>
      </c>
      <c r="D11" s="28"/>
      <c r="E11" s="29" t="n">
        <v>291</v>
      </c>
      <c r="F11" s="20" t="s">
        <v>129</v>
      </c>
      <c r="G11" s="38"/>
    </row>
    <row r="12" customFormat="false" ht="15" hidden="false" customHeight="false" outlineLevel="0" collapsed="false">
      <c r="A12" s="26" t="s">
        <v>124</v>
      </c>
      <c r="B12" s="27" t="s">
        <v>125</v>
      </c>
      <c r="C12" s="27" t="s">
        <v>130</v>
      </c>
      <c r="D12" s="28"/>
      <c r="E12" s="29" t="n">
        <v>45</v>
      </c>
      <c r="F12" s="20" t="s">
        <v>131</v>
      </c>
      <c r="G12" s="38"/>
    </row>
    <row r="13" customFormat="false" ht="23.85" hidden="false" customHeight="false" outlineLevel="0" collapsed="false">
      <c r="A13" s="31" t="s">
        <v>132</v>
      </c>
      <c r="B13" s="32" t="s">
        <v>133</v>
      </c>
      <c r="C13" s="32" t="s">
        <v>134</v>
      </c>
      <c r="D13" s="28"/>
      <c r="E13" s="29" t="n">
        <v>4</v>
      </c>
      <c r="F13" s="35" t="s">
        <v>135</v>
      </c>
      <c r="G13" s="30" t="str">
        <f aca="false">IF(OR($D$13="",$D$10=""),"",IF($D$10=0,"",$D$13/$D$10))</f>
        <v/>
      </c>
    </row>
    <row r="14" customFormat="false" ht="15" hidden="false" customHeight="false" outlineLevel="0" collapsed="false">
      <c r="A14" s="26" t="s">
        <v>136</v>
      </c>
      <c r="B14" s="27" t="s">
        <v>137</v>
      </c>
      <c r="C14" s="27" t="s">
        <v>138</v>
      </c>
      <c r="D14" s="28"/>
      <c r="E14" s="29" t="n">
        <v>3</v>
      </c>
      <c r="F14" s="20" t="s">
        <v>139</v>
      </c>
      <c r="G14" s="30" t="str">
        <f aca="false">IF(OR($D$14="",$D$10=""),"",IF($D$10=0,"",$D$14/$D$10))</f>
        <v/>
      </c>
    </row>
    <row r="15" customFormat="false" ht="15" hidden="false" customHeight="false" outlineLevel="0" collapsed="false">
      <c r="A15" s="31" t="s">
        <v>140</v>
      </c>
      <c r="B15" s="32" t="s">
        <v>141</v>
      </c>
      <c r="C15" s="32" t="s">
        <v>142</v>
      </c>
      <c r="D15" s="39"/>
      <c r="E15" s="40" t="n">
        <v>0.93</v>
      </c>
      <c r="F15" s="35" t="s">
        <v>143</v>
      </c>
      <c r="G15" s="30" t="str">
        <f aca="false">IF($D$15="","",$D$15)</f>
        <v/>
      </c>
    </row>
    <row r="16" customFormat="false" ht="23.85" hidden="false" customHeight="false" outlineLevel="0" collapsed="false">
      <c r="A16" s="26" t="s">
        <v>144</v>
      </c>
      <c r="B16" s="27" t="s">
        <v>145</v>
      </c>
      <c r="C16" s="27" t="s">
        <v>146</v>
      </c>
      <c r="D16" s="28"/>
      <c r="E16" s="29" t="n">
        <v>1</v>
      </c>
      <c r="F16" s="20" t="s">
        <v>147</v>
      </c>
      <c r="G16" s="37" t="str">
        <f aca="false">IF($D$16="","",$D$16)</f>
        <v/>
      </c>
    </row>
    <row r="17" customFormat="false" ht="15" hidden="false" customHeight="false" outlineLevel="0" collapsed="false">
      <c r="A17" s="31" t="s">
        <v>148</v>
      </c>
      <c r="B17" s="32" t="s">
        <v>149</v>
      </c>
      <c r="C17" s="32" t="s">
        <v>150</v>
      </c>
      <c r="D17" s="28"/>
      <c r="E17" s="29" t="n">
        <v>55</v>
      </c>
      <c r="F17" s="35" t="s">
        <v>151</v>
      </c>
      <c r="G17" s="30" t="str">
        <f aca="false">IF(OR($D$17="",$D$18=""),"",IF($D$17=0,"",$D$18/$D$17))</f>
        <v/>
      </c>
    </row>
    <row r="18" customFormat="false" ht="15" hidden="false" customHeight="false" outlineLevel="0" collapsed="false">
      <c r="A18" s="31" t="s">
        <v>148</v>
      </c>
      <c r="B18" s="32" t="s">
        <v>149</v>
      </c>
      <c r="C18" s="32" t="s">
        <v>152</v>
      </c>
      <c r="D18" s="28"/>
      <c r="E18" s="29" t="n">
        <v>7</v>
      </c>
      <c r="F18" s="35" t="s">
        <v>153</v>
      </c>
      <c r="G18" s="30"/>
    </row>
    <row r="19" customFormat="false" ht="15" hidden="false" customHeight="false" outlineLevel="0" collapsed="false">
      <c r="A19" s="26" t="s">
        <v>154</v>
      </c>
      <c r="B19" s="27" t="s">
        <v>155</v>
      </c>
      <c r="C19" s="27" t="s">
        <v>156</v>
      </c>
      <c r="D19" s="28"/>
      <c r="E19" s="29" t="n">
        <v>6</v>
      </c>
      <c r="F19" s="20" t="s">
        <v>153</v>
      </c>
      <c r="G19" s="30" t="str">
        <f aca="false">IF(OR($D$19="",$D$18=""),"",IF($D$18=0,"",$D$19/$D$18))</f>
        <v/>
      </c>
    </row>
    <row r="20" customFormat="false" ht="15" hidden="false" customHeight="false" outlineLevel="0" collapsed="false">
      <c r="A20" s="31" t="s">
        <v>157</v>
      </c>
      <c r="B20" s="32" t="s">
        <v>158</v>
      </c>
      <c r="C20" s="32" t="s">
        <v>159</v>
      </c>
      <c r="D20" s="28"/>
      <c r="E20" s="29" t="n">
        <v>1</v>
      </c>
      <c r="F20" s="35" t="s">
        <v>153</v>
      </c>
      <c r="G20" s="30" t="str">
        <f aca="false">IF($D$20="","",IF($D$20=0,"none",IF($D$21="","",$D$21/$D$20)))</f>
        <v/>
      </c>
    </row>
    <row r="21" customFormat="false" ht="23.85" hidden="false" customHeight="false" outlineLevel="0" collapsed="false">
      <c r="A21" s="31" t="s">
        <v>157</v>
      </c>
      <c r="B21" s="32" t="s">
        <v>158</v>
      </c>
      <c r="C21" s="32" t="s">
        <v>160</v>
      </c>
      <c r="D21" s="28"/>
      <c r="E21" s="29" t="n">
        <v>1</v>
      </c>
      <c r="F21" s="35" t="s">
        <v>161</v>
      </c>
      <c r="G21" s="30"/>
    </row>
    <row r="22" customFormat="false" ht="15" hidden="false" customHeight="false" outlineLevel="0" collapsed="false">
      <c r="A22" s="26" t="s">
        <v>162</v>
      </c>
      <c r="B22" s="27" t="s">
        <v>163</v>
      </c>
      <c r="C22" s="27" t="s">
        <v>164</v>
      </c>
      <c r="D22" s="28"/>
      <c r="E22" s="29" t="n">
        <v>38</v>
      </c>
      <c r="F22" s="20" t="s">
        <v>165</v>
      </c>
      <c r="G22" s="41" t="str">
        <f aca="false">IF(OR($D$22="",'Client Info'!$B$18=""),"",$D$22-'Client Info'!$B$18)</f>
        <v/>
      </c>
    </row>
    <row r="23" customFormat="false" ht="15" hidden="false" customHeight="false" outlineLevel="0" collapsed="false">
      <c r="A23" s="26" t="s">
        <v>162</v>
      </c>
      <c r="B23" s="27" t="s">
        <v>163</v>
      </c>
      <c r="C23" s="27" t="s">
        <v>166</v>
      </c>
      <c r="D23" s="28"/>
      <c r="E23" s="29" t="n">
        <v>31</v>
      </c>
      <c r="F23" s="20" t="s">
        <v>167</v>
      </c>
      <c r="G23" s="41"/>
    </row>
    <row r="24" customFormat="false" ht="22.35" hidden="false" customHeight="false" outlineLevel="0" collapsed="false">
      <c r="A24" s="31" t="s">
        <v>168</v>
      </c>
      <c r="B24" s="32" t="s">
        <v>169</v>
      </c>
      <c r="C24" s="32" t="s">
        <v>170</v>
      </c>
      <c r="D24" s="28"/>
      <c r="E24" s="29" t="n">
        <v>5</v>
      </c>
      <c r="F24" s="35" t="s">
        <v>171</v>
      </c>
      <c r="G24" s="30" t="str">
        <f aca="false">IF(OR($D$24="",$D$25=""),"",IF($D$24=0,"none",$D$25/$D$24))</f>
        <v/>
      </c>
    </row>
    <row r="25" customFormat="false" ht="12.65" hidden="false" customHeight="false" outlineLevel="0" collapsed="false">
      <c r="A25" s="31" t="s">
        <v>168</v>
      </c>
      <c r="B25" s="32" t="s">
        <v>169</v>
      </c>
      <c r="C25" s="32" t="s">
        <v>172</v>
      </c>
      <c r="D25" s="28"/>
      <c r="E25" s="29" t="n">
        <v>2</v>
      </c>
      <c r="F25" s="35" t="s">
        <v>173</v>
      </c>
      <c r="G25" s="30"/>
    </row>
    <row r="26" customFormat="false" ht="15" hidden="false" customHeight="false" outlineLevel="0" collapsed="false">
      <c r="A26" s="26" t="s">
        <v>174</v>
      </c>
      <c r="B26" s="27" t="s">
        <v>175</v>
      </c>
      <c r="C26" s="27" t="s">
        <v>176</v>
      </c>
      <c r="D26" s="28"/>
      <c r="E26" s="29" t="n">
        <v>2</v>
      </c>
      <c r="F26" s="20" t="s">
        <v>177</v>
      </c>
      <c r="G26" s="37" t="str">
        <f aca="false">IF($D$26="","",$D$26)</f>
        <v/>
      </c>
    </row>
  </sheetData>
  <mergeCells count="6">
    <mergeCell ref="G7:G8"/>
    <mergeCell ref="G10:G12"/>
    <mergeCell ref="G17:G18"/>
    <mergeCell ref="G20:G21"/>
    <mergeCell ref="G22:G23"/>
    <mergeCell ref="G24:G25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10" min="8" style="0" width="24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4" min="13" style="0" width="15"/>
    <col collapsed="false" customWidth="true" hidden="false" outlineLevel="0" max="15" min="15" style="0" width="30"/>
    <col collapsed="false" customWidth="true" hidden="false" outlineLevel="0" max="16" min="16" style="0" width="14"/>
    <col collapsed="false" customWidth="true" hidden="false" outlineLevel="0" max="17" min="17" style="0" width="36"/>
    <col collapsed="false" customWidth="true" hidden="true" outlineLevel="0" max="19" min="18" style="0" width="7"/>
  </cols>
  <sheetData>
    <row r="1" customFormat="false" ht="27.75" hidden="false" customHeight="true" outlineLevel="0" collapsed="false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8" hidden="false" customHeight="true" outlineLevel="0" collapsed="false">
      <c r="A2" s="4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30" hidden="false" customHeight="true" outlineLevel="0" collapsed="false">
      <c r="A4" s="17" t="s">
        <v>102</v>
      </c>
      <c r="B4" s="17" t="s">
        <v>180</v>
      </c>
      <c r="C4" s="17" t="s">
        <v>181</v>
      </c>
      <c r="D4" s="17" t="s">
        <v>182</v>
      </c>
      <c r="E4" s="17" t="s">
        <v>183</v>
      </c>
      <c r="F4" s="17" t="s">
        <v>184</v>
      </c>
      <c r="G4" s="17" t="s">
        <v>185</v>
      </c>
      <c r="H4" s="17" t="s">
        <v>186</v>
      </c>
      <c r="I4" s="17" t="s">
        <v>187</v>
      </c>
      <c r="J4" s="17" t="s">
        <v>188</v>
      </c>
      <c r="K4" s="17" t="s">
        <v>189</v>
      </c>
      <c r="L4" s="17" t="s">
        <v>190</v>
      </c>
      <c r="M4" s="17" t="s">
        <v>191</v>
      </c>
      <c r="N4" s="17" t="s">
        <v>192</v>
      </c>
      <c r="O4" s="17" t="s">
        <v>193</v>
      </c>
      <c r="P4" s="17" t="s">
        <v>194</v>
      </c>
      <c r="Q4" s="17" t="s">
        <v>195</v>
      </c>
      <c r="R4" s="17" t="s">
        <v>196</v>
      </c>
      <c r="S4" s="17" t="s">
        <v>197</v>
      </c>
    </row>
    <row r="5" customFormat="false" ht="91.5" hidden="false" customHeight="true" outlineLevel="0" collapsed="false">
      <c r="A5" s="42" t="s">
        <v>106</v>
      </c>
      <c r="B5" s="43" t="s">
        <v>198</v>
      </c>
      <c r="C5" s="27" t="s">
        <v>199</v>
      </c>
      <c r="D5" s="44" t="s">
        <v>200</v>
      </c>
      <c r="E5" s="45" t="s">
        <v>201</v>
      </c>
      <c r="F5" s="46" t="s">
        <v>202</v>
      </c>
      <c r="G5" s="46" t="n">
        <v>2</v>
      </c>
      <c r="H5" s="44" t="str">
        <f aca="false">"At least "&amp;TEXT(Thresholds!$D$5,"0%")&amp;" of contracted QBRs held in the last 12 months"</f>
        <v>At least 90% of contracted QBRs held in the last 12 months</v>
      </c>
      <c r="I5" s="44" t="str">
        <f aca="false">"Between "&amp;TEXT(Thresholds!$E$5,"0%")&amp;" and "&amp;TEXT(Thresholds!$D$5,"0%")&amp;" held"</f>
        <v>Between 60% and 90% held</v>
      </c>
      <c r="J5" s="44" t="str">
        <f aca="false">"Fewer than "&amp;TEXT(Thresholds!$E$5,"0%")&amp;" held"</f>
        <v>Fewer than 60% held</v>
      </c>
      <c r="K5" s="47" t="str">
        <f aca="false">'Data Inputs'!$G$5</f>
        <v/>
      </c>
      <c r="L5" s="48" t="str">
        <f aca="false">IF('Data Inputs'!$G$5="","",IF('Data Inputs'!$G$5&gt;=Thresholds!$D$5,"Satisfactory",IF('Data Inputs'!$G$5&lt;Thresholds!$E$5,"At Risk","Needs Attention")))</f>
        <v/>
      </c>
      <c r="M5" s="46"/>
      <c r="N5" s="49" t="str">
        <f aca="false">IF(M5&lt;&gt;"",M5,L5)</f>
        <v/>
      </c>
      <c r="O5" s="50"/>
      <c r="P5" s="51" t="str">
        <f aca="false">IF(N5="","Not scored",IF(AND(L5&lt;&gt;"",M5&lt;&gt;"",M5&lt;&gt;L5,O5=""),"Override: add evidence",IF(AND(E5&lt;&gt;"Data",N5&lt;&gt;"Satisfactory",O5=""),"Add evidence","")))</f>
        <v>Not scored</v>
      </c>
      <c r="Q5" s="44" t="s">
        <v>203</v>
      </c>
      <c r="R5" s="52" t="n">
        <f aca="false">IF(N5="Satisfactory",Thresholds!$D$25,IF(N5="Needs Attention",Thresholds!$D$26,IF(N5="At Risk",Thresholds!$D$27,0)))</f>
        <v>0</v>
      </c>
      <c r="S5" s="52" t="str">
        <f aca="false">IF(N5="At Risk",COUNTIF($N$5:N5,"At Risk"),IF(N5="Needs Attention",COUNTIF($N$5:$N$33,"At Risk")+COUNTIF($N$5:N5,"Needs Attention"),""))</f>
        <v/>
      </c>
    </row>
    <row r="6" customFormat="false" ht="91.5" hidden="false" customHeight="true" outlineLevel="0" collapsed="false">
      <c r="A6" s="42" t="s">
        <v>110</v>
      </c>
      <c r="B6" s="43" t="s">
        <v>198</v>
      </c>
      <c r="C6" s="27" t="s">
        <v>204</v>
      </c>
      <c r="D6" s="44" t="s">
        <v>205</v>
      </c>
      <c r="E6" s="45" t="s">
        <v>201</v>
      </c>
      <c r="F6" s="46" t="s">
        <v>202</v>
      </c>
      <c r="G6" s="46" t="n">
        <v>2</v>
      </c>
      <c r="H6" s="44" t="str">
        <f aca="false">"Within the last "&amp;TEXT(Thresholds!$D$6,"0")&amp;" months"</f>
        <v>Within the last 4 months</v>
      </c>
      <c r="I6" s="44" t="str">
        <f aca="false">"Between "&amp;TEXT(Thresholds!$D$6,"0")&amp;" and "&amp;TEXT(Thresholds!$E$6,"0")&amp;" months ago"</f>
        <v>Between 4 and 6 months ago</v>
      </c>
      <c r="J6" s="44" t="str">
        <f aca="false">"More than "&amp;TEXT(Thresholds!$E$6,"0")&amp;" months ago, or never"</f>
        <v>More than 6 months ago, or never</v>
      </c>
      <c r="K6" s="53" t="str">
        <f aca="false">'Data Inputs'!$G$6</f>
        <v/>
      </c>
      <c r="L6" s="48" t="str">
        <f aca="false">IF('Data Inputs'!$G$6="","",IF('Data Inputs'!$G$6&lt;=Thresholds!$D$6,"Satisfactory",IF('Data Inputs'!$G$6&gt;Thresholds!$E$6,"At Risk","Needs Attention")))</f>
        <v/>
      </c>
      <c r="M6" s="46"/>
      <c r="N6" s="49" t="str">
        <f aca="false">IF(M6&lt;&gt;"",M6,L6)</f>
        <v/>
      </c>
      <c r="O6" s="50"/>
      <c r="P6" s="51" t="str">
        <f aca="false">IF(N6="","Not scored",IF(AND(L6&lt;&gt;"",M6&lt;&gt;"",M6&lt;&gt;L6,O6=""),"Override: add evidence",IF(AND(E6&lt;&gt;"Data",N6&lt;&gt;"Satisfactory",O6=""),"Add evidence","")))</f>
        <v>Not scored</v>
      </c>
      <c r="Q6" s="44" t="s">
        <v>206</v>
      </c>
      <c r="R6" s="52" t="n">
        <f aca="false">IF(N6="Satisfactory",Thresholds!$D$25,IF(N6="Needs Attention",Thresholds!$D$26,IF(N6="At Risk",Thresholds!$D$27,0)))</f>
        <v>0</v>
      </c>
      <c r="S6" s="52" t="str">
        <f aca="false">IF(N6="At Risk",COUNTIF($N$5:N6,"At Risk"),IF(N6="Needs Attention",COUNTIF($N$5:$N$33,"At Risk")+COUNTIF($N$5:N6,"Needs Attention"),""))</f>
        <v/>
      </c>
    </row>
    <row r="7" customFormat="false" ht="91.5" hidden="false" customHeight="true" outlineLevel="0" collapsed="false">
      <c r="A7" s="42" t="s">
        <v>207</v>
      </c>
      <c r="B7" s="43" t="s">
        <v>198</v>
      </c>
      <c r="C7" s="27" t="s">
        <v>208</v>
      </c>
      <c r="D7" s="44" t="s">
        <v>209</v>
      </c>
      <c r="E7" s="45" t="s">
        <v>210</v>
      </c>
      <c r="F7" s="46" t="s">
        <v>202</v>
      </c>
      <c r="G7" s="46" t="n">
        <v>3</v>
      </c>
      <c r="H7" s="44" t="s">
        <v>211</v>
      </c>
      <c r="I7" s="44" t="s">
        <v>212</v>
      </c>
      <c r="J7" s="44" t="s">
        <v>213</v>
      </c>
      <c r="K7" s="54" t="s">
        <v>214</v>
      </c>
      <c r="L7" s="48"/>
      <c r="M7" s="46"/>
      <c r="N7" s="49" t="n">
        <f aca="false">IF(M7&lt;&gt;"",M7,L7)</f>
        <v>0</v>
      </c>
      <c r="O7" s="50"/>
      <c r="P7" s="51" t="str">
        <f aca="false">IF(N7="","Not scored",IF(AND(L7&lt;&gt;"",M7&lt;&gt;"",M7&lt;&gt;L7,O7=""),"Override: add evidence",IF(AND(E7&lt;&gt;"Data",N7&lt;&gt;"Satisfactory",O7=""),"Add evidence","")))</f>
        <v>Not scored</v>
      </c>
      <c r="Q7" s="44" t="s">
        <v>215</v>
      </c>
      <c r="R7" s="52" t="n">
        <f aca="false">IF(N7="Satisfactory",Thresholds!$D$25,IF(N7="Needs Attention",Thresholds!$D$26,IF(N7="At Risk",Thresholds!$D$27,0)))</f>
        <v>0</v>
      </c>
      <c r="S7" s="52" t="str">
        <f aca="false">IF(N7="At Risk",COUNTIF($N$5:N7,"At Risk"),IF(N7="Needs Attention",COUNTIF($N$5:$N$33,"At Risk")+COUNTIF($N$5:N7,"Needs Attention"),""))</f>
        <v/>
      </c>
    </row>
    <row r="8" customFormat="false" ht="91.5" hidden="false" customHeight="true" outlineLevel="0" collapsed="false">
      <c r="A8" s="42" t="s">
        <v>216</v>
      </c>
      <c r="B8" s="43" t="s">
        <v>198</v>
      </c>
      <c r="C8" s="27" t="s">
        <v>217</v>
      </c>
      <c r="D8" s="44" t="s">
        <v>218</v>
      </c>
      <c r="E8" s="45" t="s">
        <v>210</v>
      </c>
      <c r="F8" s="46" t="s">
        <v>219</v>
      </c>
      <c r="G8" s="46" t="n">
        <v>3</v>
      </c>
      <c r="H8" s="44" t="s">
        <v>220</v>
      </c>
      <c r="I8" s="44" t="s">
        <v>221</v>
      </c>
      <c r="J8" s="44" t="s">
        <v>222</v>
      </c>
      <c r="K8" s="54" t="s">
        <v>214</v>
      </c>
      <c r="L8" s="48"/>
      <c r="M8" s="46"/>
      <c r="N8" s="49" t="n">
        <f aca="false">IF(M8&lt;&gt;"",M8,L8)</f>
        <v>0</v>
      </c>
      <c r="O8" s="50"/>
      <c r="P8" s="51" t="str">
        <f aca="false">IF(N8="","Not scored",IF(AND(L8&lt;&gt;"",M8&lt;&gt;"",M8&lt;&gt;L8,O8=""),"Override: add evidence",IF(AND(E8&lt;&gt;"Data",N8&lt;&gt;"Satisfactory",O8=""),"Add evidence","")))</f>
        <v>Not scored</v>
      </c>
      <c r="Q8" s="44" t="s">
        <v>223</v>
      </c>
      <c r="R8" s="52" t="n">
        <f aca="false">IF(N8="Satisfactory",Thresholds!$D$25,IF(N8="Needs Attention",Thresholds!$D$26,IF(N8="At Risk",Thresholds!$D$27,0)))</f>
        <v>0</v>
      </c>
      <c r="S8" s="52" t="str">
        <f aca="false">IF(N8="At Risk",COUNTIF($N$5:N8,"At Risk"),IF(N8="Needs Attention",COUNTIF($N$5:$N$33,"At Risk")+COUNTIF($N$5:N8,"Needs Attention"),""))</f>
        <v/>
      </c>
    </row>
    <row r="9" customFormat="false" ht="91.5" hidden="false" customHeight="true" outlineLevel="0" collapsed="false">
      <c r="A9" s="42" t="s">
        <v>114</v>
      </c>
      <c r="B9" s="43" t="s">
        <v>198</v>
      </c>
      <c r="C9" s="27" t="s">
        <v>224</v>
      </c>
      <c r="D9" s="44" t="s">
        <v>225</v>
      </c>
      <c r="E9" s="45" t="s">
        <v>201</v>
      </c>
      <c r="F9" s="46" t="s">
        <v>202</v>
      </c>
      <c r="G9" s="46" t="n">
        <v>2</v>
      </c>
      <c r="H9" s="44" t="str">
        <f aca="false">"At least "&amp;TEXT(Thresholds!$D$7,"0%")&amp;" completed by the agreed date"</f>
        <v>At least 90% completed by the agreed date</v>
      </c>
      <c r="I9" s="44" t="str">
        <f aca="false">"Between "&amp;TEXT(Thresholds!$E$7,"0%")&amp;" and "&amp;TEXT(Thresholds!$D$7,"0%")&amp;" completed, or no action items were recorded"</f>
        <v>Between 70% and 90% completed, or no action items were recorded</v>
      </c>
      <c r="J9" s="44" t="str">
        <f aca="false">"Fewer than "&amp;TEXT(Thresholds!$E$7,"0%")&amp;" completed"</f>
        <v>Fewer than 70% completed</v>
      </c>
      <c r="K9" s="47" t="str">
        <f aca="false">'Data Inputs'!$G$7</f>
        <v/>
      </c>
      <c r="L9" s="48" t="str">
        <f aca="false">IF('Data Inputs'!$G$7="","",IF('Data Inputs'!$G$7="none","Needs Attention",IF('Data Inputs'!$G$7&gt;=Thresholds!$D$7,"Satisfactory",IF('Data Inputs'!$G$7&lt;Thresholds!$E$7,"At Risk","Needs Attention"))))</f>
        <v/>
      </c>
      <c r="M9" s="46"/>
      <c r="N9" s="49" t="str">
        <f aca="false">IF(M9&lt;&gt;"",M9,L9)</f>
        <v/>
      </c>
      <c r="O9" s="50"/>
      <c r="P9" s="51" t="str">
        <f aca="false">IF(N9="","Not scored",IF(AND(L9&lt;&gt;"",M9&lt;&gt;"",M9&lt;&gt;L9,O9=""),"Override: add evidence",IF(AND(E9&lt;&gt;"Data",N9&lt;&gt;"Satisfactory",O9=""),"Add evidence","")))</f>
        <v>Not scored</v>
      </c>
      <c r="Q9" s="44" t="s">
        <v>226</v>
      </c>
      <c r="R9" s="52" t="n">
        <f aca="false">IF(N9="Satisfactory",Thresholds!$D$25,IF(N9="Needs Attention",Thresholds!$D$26,IF(N9="At Risk",Thresholds!$D$27,0)))</f>
        <v>0</v>
      </c>
      <c r="S9" s="52" t="str">
        <f aca="false">IF(N9="At Risk",COUNTIF($N$5:N9,"At Risk"),IF(N9="Needs Attention",COUNTIF($N$5:$N$33,"At Risk")+COUNTIF($N$5:N9,"Needs Attention"),""))</f>
        <v/>
      </c>
    </row>
    <row r="10" customFormat="false" ht="91.5" hidden="false" customHeight="true" outlineLevel="0" collapsed="false">
      <c r="A10" s="42" t="s">
        <v>120</v>
      </c>
      <c r="B10" s="43" t="s">
        <v>198</v>
      </c>
      <c r="C10" s="27" t="s">
        <v>227</v>
      </c>
      <c r="D10" s="44" t="s">
        <v>228</v>
      </c>
      <c r="E10" s="45" t="s">
        <v>201</v>
      </c>
      <c r="F10" s="46" t="s">
        <v>202</v>
      </c>
      <c r="G10" s="46" t="n">
        <v>2</v>
      </c>
      <c r="H10" s="44" t="str">
        <f aca="false">"At least "&amp;TEXT(Thresholds!$D$8,"0")&amp;" people across executive, operational, and staff levels"</f>
        <v>At least 3 people across executive, operational, and staff levels</v>
      </c>
      <c r="I10" s="44" t="str">
        <f aca="false">"At least "&amp;TEXT(Thresholds!$E$8,"0")&amp;", fewer than "&amp;TEXT(Thresholds!$D$8,"0")</f>
        <v>At least 2, fewer than 3</v>
      </c>
      <c r="J10" s="44" t="str">
        <f aca="false">"Fewer than "&amp;TEXT(Thresholds!$E$8,"0")&amp;" (single-threaded)"</f>
        <v>Fewer than 2 (single-threaded)</v>
      </c>
      <c r="K10" s="55" t="str">
        <f aca="false">'Data Inputs'!$G$9</f>
        <v/>
      </c>
      <c r="L10" s="48" t="str">
        <f aca="false">IF('Data Inputs'!$G$9="","",IF('Data Inputs'!$G$9&gt;=Thresholds!$D$8,"Satisfactory",IF('Data Inputs'!$G$9&lt;Thresholds!$E$8,"At Risk","Needs Attention")))</f>
        <v/>
      </c>
      <c r="M10" s="46"/>
      <c r="N10" s="49" t="str">
        <f aca="false">IF(M10&lt;&gt;"",M10,L10)</f>
        <v/>
      </c>
      <c r="O10" s="50"/>
      <c r="P10" s="51" t="str">
        <f aca="false">IF(N10="","Not scored",IF(AND(L10&lt;&gt;"",M10&lt;&gt;"",M10&lt;&gt;L10,O10=""),"Override: add evidence",IF(AND(E10&lt;&gt;"Data",N10&lt;&gt;"Satisfactory",O10=""),"Add evidence","")))</f>
        <v>Not scored</v>
      </c>
      <c r="Q10" s="44" t="s">
        <v>229</v>
      </c>
      <c r="R10" s="52" t="n">
        <f aca="false">IF(N10="Satisfactory",Thresholds!$D$25,IF(N10="Needs Attention",Thresholds!$D$26,IF(N10="At Risk",Thresholds!$D$27,0)))</f>
        <v>0</v>
      </c>
      <c r="S10" s="52" t="str">
        <f aca="false">IF(N10="At Risk",COUNTIF($N$5:N10,"At Risk"),IF(N10="Needs Attention",COUNTIF($N$5:$N$33,"At Risk")+COUNTIF($N$5:N10,"Needs Attention"),""))</f>
        <v/>
      </c>
    </row>
    <row r="11" customFormat="false" ht="91.5" hidden="false" customHeight="true" outlineLevel="0" collapsed="false">
      <c r="A11" s="56" t="s">
        <v>124</v>
      </c>
      <c r="B11" s="57" t="s">
        <v>230</v>
      </c>
      <c r="C11" s="27" t="s">
        <v>231</v>
      </c>
      <c r="D11" s="44" t="s">
        <v>232</v>
      </c>
      <c r="E11" s="45" t="s">
        <v>201</v>
      </c>
      <c r="F11" s="46" t="s">
        <v>202</v>
      </c>
      <c r="G11" s="46" t="n">
        <v>3</v>
      </c>
      <c r="H11" s="44" t="str">
        <f aca="false">"Between "&amp;TEXT(Thresholds!$D$9,"0.00")&amp;"x and "&amp;TEXT(Thresholds!$D$10,"0.00")&amp;"x of baseline"</f>
        <v>Between 0.75x and 1.25x of baseline</v>
      </c>
      <c r="I11" s="44" t="str">
        <f aca="false">"Between "&amp;TEXT(Thresholds!$E$9,"0.00")&amp;"x-"&amp;TEXT(Thresholds!$D$9,"0.00")&amp;"x or "&amp;TEXT(Thresholds!$D$10,"0.00")&amp;"x-"&amp;TEXT(Thresholds!$E$10,"0.00")&amp;"x of baseline"</f>
        <v>Between 0.50x-0.75x or 1.25x-1.50x of baseline</v>
      </c>
      <c r="J11" s="44" t="str">
        <f aca="false">"Below "&amp;TEXT(Thresholds!$E$9,"0.00")&amp;"x or above "&amp;TEXT(Thresholds!$E$10,"0.00")&amp;"x of baseline"</f>
        <v>Below 0.50x or above 1.50x of baseline</v>
      </c>
      <c r="K11" s="58" t="str">
        <f aca="false">'Data Inputs'!$G$10</f>
        <v/>
      </c>
      <c r="L11" s="48" t="str">
        <f aca="false">IF('Data Inputs'!$G$10="","",IF(OR('Data Inputs'!$G$10&lt;Thresholds!$E$9,'Data Inputs'!$G$10&gt;Thresholds!$E$10),"At Risk",IF(OR('Data Inputs'!$G$10&lt;Thresholds!$D$9,'Data Inputs'!$G$10&gt;Thresholds!$D$10),"Needs Attention","Satisfactory")))</f>
        <v/>
      </c>
      <c r="M11" s="46"/>
      <c r="N11" s="49" t="str">
        <f aca="false">IF(M11&lt;&gt;"",M11,L11)</f>
        <v/>
      </c>
      <c r="O11" s="50"/>
      <c r="P11" s="51" t="str">
        <f aca="false">IF(N11="","Not scored",IF(AND(L11&lt;&gt;"",M11&lt;&gt;"",M11&lt;&gt;L11,O11=""),"Override: add evidence",IF(AND(E11&lt;&gt;"Data",N11&lt;&gt;"Satisfactory",O11=""),"Add evidence","")))</f>
        <v>Not scored</v>
      </c>
      <c r="Q11" s="44" t="s">
        <v>233</v>
      </c>
      <c r="R11" s="52" t="n">
        <f aca="false">IF(N11="Satisfactory",Thresholds!$D$25,IF(N11="Needs Attention",Thresholds!$D$26,IF(N11="At Risk",Thresholds!$D$27,0)))</f>
        <v>0</v>
      </c>
      <c r="S11" s="52" t="str">
        <f aca="false">IF(N11="At Risk",COUNTIF($N$5:N11,"At Risk"),IF(N11="Needs Attention",COUNTIF($N$5:$N$33,"At Risk")+COUNTIF($N$5:N11,"Needs Attention"),""))</f>
        <v/>
      </c>
    </row>
    <row r="12" customFormat="false" ht="91.5" hidden="false" customHeight="true" outlineLevel="0" collapsed="false">
      <c r="A12" s="56" t="s">
        <v>132</v>
      </c>
      <c r="B12" s="57" t="s">
        <v>230</v>
      </c>
      <c r="C12" s="27" t="s">
        <v>234</v>
      </c>
      <c r="D12" s="44" t="s">
        <v>235</v>
      </c>
      <c r="E12" s="45" t="s">
        <v>201</v>
      </c>
      <c r="F12" s="46" t="s">
        <v>202</v>
      </c>
      <c r="G12" s="46" t="n">
        <v>2</v>
      </c>
      <c r="H12" s="44" t="str">
        <f aca="false">"No more than "&amp;TEXT(Thresholds!$D$11,"0%")&amp;" of tickets"</f>
        <v>No more than 5% of tickets</v>
      </c>
      <c r="I12" s="44" t="str">
        <f aca="false">"Between "&amp;TEXT(Thresholds!$D$11,"0%")&amp;" and "&amp;TEXT(Thresholds!$E$11,"0%")&amp;""</f>
        <v>Between 5% and 15%</v>
      </c>
      <c r="J12" s="44" t="str">
        <f aca="false">"More than "&amp;TEXT(Thresholds!$E$11,"0%")&amp;""</f>
        <v>More than 15%</v>
      </c>
      <c r="K12" s="47" t="str">
        <f aca="false">'Data Inputs'!$G$13</f>
        <v/>
      </c>
      <c r="L12" s="48" t="str">
        <f aca="false">IF('Data Inputs'!$G$13="","",IF('Data Inputs'!$G$13&lt;=Thresholds!$D$11,"Satisfactory",IF('Data Inputs'!$G$13&gt;Thresholds!$E$11,"At Risk","Needs Attention")))</f>
        <v/>
      </c>
      <c r="M12" s="46"/>
      <c r="N12" s="49" t="str">
        <f aca="false">IF(M12&lt;&gt;"",M12,L12)</f>
        <v/>
      </c>
      <c r="O12" s="50"/>
      <c r="P12" s="51" t="str">
        <f aca="false">IF(N12="","Not scored",IF(AND(L12&lt;&gt;"",M12&lt;&gt;"",M12&lt;&gt;L12,O12=""),"Override: add evidence",IF(AND(E12&lt;&gt;"Data",N12&lt;&gt;"Satisfactory",O12=""),"Add evidence","")))</f>
        <v>Not scored</v>
      </c>
      <c r="Q12" s="44" t="s">
        <v>236</v>
      </c>
      <c r="R12" s="52" t="n">
        <f aca="false">IF(N12="Satisfactory",Thresholds!$D$25,IF(N12="Needs Attention",Thresholds!$D$26,IF(N12="At Risk",Thresholds!$D$27,0)))</f>
        <v>0</v>
      </c>
      <c r="S12" s="52" t="str">
        <f aca="false">IF(N12="At Risk",COUNTIF($N$5:N12,"At Risk"),IF(N12="Needs Attention",COUNTIF($N$5:$N$33,"At Risk")+COUNTIF($N$5:N12,"Needs Attention"),""))</f>
        <v/>
      </c>
    </row>
    <row r="13" customFormat="false" ht="91.5" hidden="false" customHeight="true" outlineLevel="0" collapsed="false">
      <c r="A13" s="56" t="s">
        <v>136</v>
      </c>
      <c r="B13" s="57" t="s">
        <v>230</v>
      </c>
      <c r="C13" s="27" t="s">
        <v>237</v>
      </c>
      <c r="D13" s="44" t="s">
        <v>238</v>
      </c>
      <c r="E13" s="45" t="s">
        <v>201</v>
      </c>
      <c r="F13" s="46" t="s">
        <v>202</v>
      </c>
      <c r="G13" s="46" t="n">
        <v>1</v>
      </c>
      <c r="H13" s="44" t="str">
        <f aca="false">"No more than "&amp;TEXT(Thresholds!$D$12,"0%")&amp;" of tickets"</f>
        <v>No more than 5% of tickets</v>
      </c>
      <c r="I13" s="44" t="str">
        <f aca="false">"Between "&amp;TEXT(Thresholds!$D$12,"0%")&amp;" and "&amp;TEXT(Thresholds!$E$12,"0%")&amp;""</f>
        <v>Between 5% and 10%</v>
      </c>
      <c r="J13" s="44" t="str">
        <f aca="false">"More than "&amp;TEXT(Thresholds!$E$12,"0%")&amp;""</f>
        <v>More than 10%</v>
      </c>
      <c r="K13" s="47" t="str">
        <f aca="false">'Data Inputs'!$G$14</f>
        <v/>
      </c>
      <c r="L13" s="48" t="str">
        <f aca="false">IF('Data Inputs'!$G$14="","",IF('Data Inputs'!$G$14&lt;=Thresholds!$D$12,"Satisfactory",IF('Data Inputs'!$G$14&gt;Thresholds!$E$12,"At Risk","Needs Attention")))</f>
        <v/>
      </c>
      <c r="M13" s="46"/>
      <c r="N13" s="49" t="str">
        <f aca="false">IF(M13&lt;&gt;"",M13,L13)</f>
        <v/>
      </c>
      <c r="O13" s="50"/>
      <c r="P13" s="51" t="str">
        <f aca="false">IF(N13="","Not scored",IF(AND(L13&lt;&gt;"",M13&lt;&gt;"",M13&lt;&gt;L13,O13=""),"Override: add evidence",IF(AND(E13&lt;&gt;"Data",N13&lt;&gt;"Satisfactory",O13=""),"Add evidence","")))</f>
        <v>Not scored</v>
      </c>
      <c r="Q13" s="44" t="s">
        <v>239</v>
      </c>
      <c r="R13" s="52" t="n">
        <f aca="false">IF(N13="Satisfactory",Thresholds!$D$25,IF(N13="Needs Attention",Thresholds!$D$26,IF(N13="At Risk",Thresholds!$D$27,0)))</f>
        <v>0</v>
      </c>
      <c r="S13" s="52" t="str">
        <f aca="false">IF(N13="At Risk",COUNTIF($N$5:N13,"At Risk"),IF(N13="Needs Attention",COUNTIF($N$5:$N$33,"At Risk")+COUNTIF($N$5:N13,"Needs Attention"),""))</f>
        <v/>
      </c>
    </row>
    <row r="14" customFormat="false" ht="91.5" hidden="false" customHeight="true" outlineLevel="0" collapsed="false">
      <c r="A14" s="56" t="s">
        <v>140</v>
      </c>
      <c r="B14" s="57" t="s">
        <v>230</v>
      </c>
      <c r="C14" s="27" t="s">
        <v>240</v>
      </c>
      <c r="D14" s="44" t="s">
        <v>241</v>
      </c>
      <c r="E14" s="45" t="s">
        <v>201</v>
      </c>
      <c r="F14" s="46" t="s">
        <v>202</v>
      </c>
      <c r="G14" s="46" t="n">
        <v>2</v>
      </c>
      <c r="H14" s="44" t="str">
        <f aca="false">"At least "&amp;TEXT(Thresholds!$D$13,"0%")&amp;""</f>
        <v>At least 95%</v>
      </c>
      <c r="I14" s="44" t="str">
        <f aca="false">"Between "&amp;TEXT(Thresholds!$E$13,"0%")&amp;" and "&amp;TEXT(Thresholds!$D$13,"0%")&amp;""</f>
        <v>Between 85% and 95%</v>
      </c>
      <c r="J14" s="44" t="str">
        <f aca="false">"Below "&amp;TEXT(Thresholds!$E$13,"0%")&amp;""</f>
        <v>Below 85%</v>
      </c>
      <c r="K14" s="47" t="str">
        <f aca="false">'Data Inputs'!$G$15</f>
        <v/>
      </c>
      <c r="L14" s="48" t="str">
        <f aca="false">IF('Data Inputs'!$G$15="","",IF('Data Inputs'!$G$15&gt;=Thresholds!$D$13,"Satisfactory",IF('Data Inputs'!$G$15&lt;Thresholds!$E$13,"At Risk","Needs Attention")))</f>
        <v/>
      </c>
      <c r="M14" s="46"/>
      <c r="N14" s="49" t="str">
        <f aca="false">IF(M14&lt;&gt;"",M14,L14)</f>
        <v/>
      </c>
      <c r="O14" s="50"/>
      <c r="P14" s="51" t="str">
        <f aca="false">IF(N14="","Not scored",IF(AND(L14&lt;&gt;"",M14&lt;&gt;"",M14&lt;&gt;L14,O14=""),"Override: add evidence",IF(AND(E14&lt;&gt;"Data",N14&lt;&gt;"Satisfactory",O14=""),"Add evidence","")))</f>
        <v>Not scored</v>
      </c>
      <c r="Q14" s="44" t="s">
        <v>242</v>
      </c>
      <c r="R14" s="52" t="n">
        <f aca="false">IF(N14="Satisfactory",Thresholds!$D$25,IF(N14="Needs Attention",Thresholds!$D$26,IF(N14="At Risk",Thresholds!$D$27,0)))</f>
        <v>0</v>
      </c>
      <c r="S14" s="52" t="str">
        <f aca="false">IF(N14="At Risk",COUNTIF($N$5:N14,"At Risk"),IF(N14="Needs Attention",COUNTIF($N$5:$N$33,"At Risk")+COUNTIF($N$5:N14,"Needs Attention"),""))</f>
        <v/>
      </c>
    </row>
    <row r="15" customFormat="false" ht="91.5" hidden="false" customHeight="true" outlineLevel="0" collapsed="false">
      <c r="A15" s="56" t="s">
        <v>144</v>
      </c>
      <c r="B15" s="57" t="s">
        <v>230</v>
      </c>
      <c r="C15" s="27" t="s">
        <v>243</v>
      </c>
      <c r="D15" s="44" t="s">
        <v>244</v>
      </c>
      <c r="E15" s="45" t="s">
        <v>201</v>
      </c>
      <c r="F15" s="46" t="s">
        <v>202</v>
      </c>
      <c r="G15" s="46" t="n">
        <v>2</v>
      </c>
      <c r="H15" s="44" t="str">
        <f aca="false">IF(Thresholds!$D$14=0,"None","No more than "&amp;Thresholds!$D$14&amp;" change(s)")</f>
        <v>None</v>
      </c>
      <c r="I15" s="44" t="str">
        <f aca="false">IF(Thresholds!$E$14-Thresholds!$D$14=1,Thresholds!$E$14&amp;" change(s)","Between "&amp;(Thresholds!$D$14+1)&amp;" and "&amp;Thresholds!$E$14&amp;" change(s)")</f>
        <v>1 change(s)</v>
      </c>
      <c r="J15" s="44" t="str">
        <f aca="false">(Thresholds!$E$14+1)&amp;" or more change(s)"</f>
        <v>2 or more change(s)</v>
      </c>
      <c r="K15" s="55" t="str">
        <f aca="false">'Data Inputs'!$G$16</f>
        <v/>
      </c>
      <c r="L15" s="48" t="str">
        <f aca="false">IF('Data Inputs'!$G$16="","",IF('Data Inputs'!$G$16&lt;=Thresholds!$D$14,"Satisfactory",IF('Data Inputs'!$G$16&gt;Thresholds!$E$14,"At Risk","Needs Attention")))</f>
        <v/>
      </c>
      <c r="M15" s="46"/>
      <c r="N15" s="49" t="str">
        <f aca="false">IF(M15&lt;&gt;"",M15,L15)</f>
        <v/>
      </c>
      <c r="O15" s="50"/>
      <c r="P15" s="51" t="str">
        <f aca="false">IF(N15="","Not scored",IF(AND(L15&lt;&gt;"",M15&lt;&gt;"",M15&lt;&gt;L15,O15=""),"Override: add evidence",IF(AND(E15&lt;&gt;"Data",N15&lt;&gt;"Satisfactory",O15=""),"Add evidence","")))</f>
        <v>Not scored</v>
      </c>
      <c r="Q15" s="44" t="s">
        <v>245</v>
      </c>
      <c r="R15" s="52" t="n">
        <f aca="false">IF(N15="Satisfactory",Thresholds!$D$25,IF(N15="Needs Attention",Thresholds!$D$26,IF(N15="At Risk",Thresholds!$D$27,0)))</f>
        <v>0</v>
      </c>
      <c r="S15" s="52" t="str">
        <f aca="false">IF(N15="At Risk",COUNTIF($N$5:N15,"At Risk"),IF(N15="Needs Attention",COUNTIF($N$5:$N$33,"At Risk")+COUNTIF($N$5:N15,"Needs Attention"),""))</f>
        <v/>
      </c>
    </row>
    <row r="16" customFormat="false" ht="91.5" hidden="false" customHeight="true" outlineLevel="0" collapsed="false">
      <c r="A16" s="59" t="s">
        <v>148</v>
      </c>
      <c r="B16" s="60" t="s">
        <v>246</v>
      </c>
      <c r="C16" s="27" t="s">
        <v>247</v>
      </c>
      <c r="D16" s="44" t="s">
        <v>248</v>
      </c>
      <c r="E16" s="45" t="s">
        <v>201</v>
      </c>
      <c r="F16" s="46" t="s">
        <v>202</v>
      </c>
      <c r="G16" s="46" t="n">
        <v>3</v>
      </c>
      <c r="H16" s="44" t="str">
        <f aca="false">"At least "&amp;TEXT(Thresholds!$D$15,"0%")&amp;" response rate"</f>
        <v>At least 20% response rate</v>
      </c>
      <c r="I16" s="44" t="str">
        <f aca="false">"Between "&amp;TEXT(Thresholds!$E$15,"0%")&amp;" and "&amp;TEXT(Thresholds!$D$15,"0%")&amp;""</f>
        <v>Between 10% and 20%</v>
      </c>
      <c r="J16" s="44" t="str">
        <f aca="false">"Below "&amp;TEXT(Thresholds!$E$15,"0%")&amp;""</f>
        <v>Below 10%</v>
      </c>
      <c r="K16" s="47" t="str">
        <f aca="false">'Data Inputs'!$G$17</f>
        <v/>
      </c>
      <c r="L16" s="48" t="str">
        <f aca="false">IF('Data Inputs'!$G$17="","",IF('Data Inputs'!$G$17&gt;=Thresholds!$D$15,"Satisfactory",IF('Data Inputs'!$G$17&lt;Thresholds!$E$15,"At Risk","Needs Attention")))</f>
        <v/>
      </c>
      <c r="M16" s="46"/>
      <c r="N16" s="49" t="str">
        <f aca="false">IF(M16&lt;&gt;"",M16,L16)</f>
        <v/>
      </c>
      <c r="O16" s="50"/>
      <c r="P16" s="51" t="str">
        <f aca="false">IF(N16="","Not scored",IF(AND(L16&lt;&gt;"",M16&lt;&gt;"",M16&lt;&gt;L16,O16=""),"Override: add evidence",IF(AND(E16&lt;&gt;"Data",N16&lt;&gt;"Satisfactory",O16=""),"Add evidence","")))</f>
        <v>Not scored</v>
      </c>
      <c r="Q16" s="44" t="s">
        <v>249</v>
      </c>
      <c r="R16" s="52" t="n">
        <f aca="false">IF(N16="Satisfactory",Thresholds!$D$25,IF(N16="Needs Attention",Thresholds!$D$26,IF(N16="At Risk",Thresholds!$D$27,0)))</f>
        <v>0</v>
      </c>
      <c r="S16" s="52" t="str">
        <f aca="false">IF(N16="At Risk",COUNTIF($N$5:N16,"At Risk"),IF(N16="Needs Attention",COUNTIF($N$5:$N$33,"At Risk")+COUNTIF($N$5:N16,"Needs Attention"),""))</f>
        <v/>
      </c>
    </row>
    <row r="17" customFormat="false" ht="91.5" hidden="false" customHeight="true" outlineLevel="0" collapsed="false">
      <c r="A17" s="59" t="s">
        <v>154</v>
      </c>
      <c r="B17" s="60" t="s">
        <v>246</v>
      </c>
      <c r="C17" s="27" t="s">
        <v>250</v>
      </c>
      <c r="D17" s="44" t="s">
        <v>251</v>
      </c>
      <c r="E17" s="45" t="s">
        <v>201</v>
      </c>
      <c r="F17" s="46" t="s">
        <v>202</v>
      </c>
      <c r="G17" s="46" t="n">
        <v>2</v>
      </c>
      <c r="H17" s="44" t="str">
        <f aca="false">"At least "&amp;TEXT(Thresholds!$D$16,"0%")&amp;" positive"</f>
        <v>At least 95% positive</v>
      </c>
      <c r="I17" s="44" t="str">
        <f aca="false">"Between "&amp;TEXT(Thresholds!$E$16,"0%")&amp;" and "&amp;TEXT(Thresholds!$D$16,"0%")&amp;""</f>
        <v>Between 90% and 95%</v>
      </c>
      <c r="J17" s="44" t="str">
        <f aca="false">"Below "&amp;TEXT(Thresholds!$E$16,"0%")&amp;""</f>
        <v>Below 90%</v>
      </c>
      <c r="K17" s="47" t="str">
        <f aca="false">'Data Inputs'!$G$19</f>
        <v/>
      </c>
      <c r="L17" s="48" t="str">
        <f aca="false">IF('Data Inputs'!$G$19="","",IF('Data Inputs'!$G$19&gt;=Thresholds!$D$16,"Satisfactory",IF('Data Inputs'!$G$19&lt;Thresholds!$E$16,"At Risk","Needs Attention")))</f>
        <v/>
      </c>
      <c r="M17" s="46"/>
      <c r="N17" s="49" t="str">
        <f aca="false">IF(M17&lt;&gt;"",M17,L17)</f>
        <v/>
      </c>
      <c r="O17" s="50"/>
      <c r="P17" s="51" t="str">
        <f aca="false">IF(N17="","Not scored",IF(AND(L17&lt;&gt;"",M17&lt;&gt;"",M17&lt;&gt;L17,O17=""),"Override: add evidence",IF(AND(E17&lt;&gt;"Data",N17&lt;&gt;"Satisfactory",O17=""),"Add evidence","")))</f>
        <v>Not scored</v>
      </c>
      <c r="Q17" s="44" t="s">
        <v>252</v>
      </c>
      <c r="R17" s="52" t="n">
        <f aca="false">IF(N17="Satisfactory",Thresholds!$D$25,IF(N17="Needs Attention",Thresholds!$D$26,IF(N17="At Risk",Thresholds!$D$27,0)))</f>
        <v>0</v>
      </c>
      <c r="S17" s="52" t="str">
        <f aca="false">IF(N17="At Risk",COUNTIF($N$5:N17,"At Risk"),IF(N17="Needs Attention",COUNTIF($N$5:$N$33,"At Risk")+COUNTIF($N$5:N17,"Needs Attention"),""))</f>
        <v/>
      </c>
    </row>
    <row r="18" customFormat="false" ht="91.5" hidden="false" customHeight="true" outlineLevel="0" collapsed="false">
      <c r="A18" s="59" t="s">
        <v>157</v>
      </c>
      <c r="B18" s="60" t="s">
        <v>246</v>
      </c>
      <c r="C18" s="27" t="s">
        <v>253</v>
      </c>
      <c r="D18" s="44" t="s">
        <v>254</v>
      </c>
      <c r="E18" s="45" t="s">
        <v>201</v>
      </c>
      <c r="F18" s="46" t="s">
        <v>202</v>
      </c>
      <c r="G18" s="46" t="n">
        <v>2</v>
      </c>
      <c r="H18" s="44" t="str">
        <f aca="false">IF(Thresholds!$D$17&gt;=1,"All","At least "&amp;TEXT(Thresholds!$D$17,"0%"))&amp;" followed up, or no negative responses"</f>
        <v>All followed up, or no negative responses</v>
      </c>
      <c r="I18" s="44" t="str">
        <f aca="false">"Between "&amp;TEXT(Thresholds!$E$17,"0%")&amp;" and "&amp;TEXT(Thresholds!$D$17,"0%")&amp;""</f>
        <v>Between 75% and 100%</v>
      </c>
      <c r="J18" s="44" t="str">
        <f aca="false">"Below "&amp;TEXT(Thresholds!$E$17,"0%")&amp;""</f>
        <v>Below 75%</v>
      </c>
      <c r="K18" s="47" t="str">
        <f aca="false">'Data Inputs'!$G$20</f>
        <v/>
      </c>
      <c r="L18" s="48" t="str">
        <f aca="false">IF('Data Inputs'!$G$20="","",IF('Data Inputs'!$G$20="none","Satisfactory",IF('Data Inputs'!$G$20&gt;=Thresholds!$D$17,"Satisfactory",IF('Data Inputs'!$G$20&lt;Thresholds!$E$17,"At Risk","Needs Attention"))))</f>
        <v/>
      </c>
      <c r="M18" s="46"/>
      <c r="N18" s="49" t="str">
        <f aca="false">IF(M18&lt;&gt;"",M18,L18)</f>
        <v/>
      </c>
      <c r="O18" s="50"/>
      <c r="P18" s="51" t="str">
        <f aca="false">IF(N18="","Not scored",IF(AND(L18&lt;&gt;"",M18&lt;&gt;"",M18&lt;&gt;L18,O18=""),"Override: add evidence",IF(AND(E18&lt;&gt;"Data",N18&lt;&gt;"Satisfactory",O18=""),"Add evidence","")))</f>
        <v>Not scored</v>
      </c>
      <c r="Q18" s="44" t="s">
        <v>255</v>
      </c>
      <c r="R18" s="52" t="n">
        <f aca="false">IF(N18="Satisfactory",Thresholds!$D$25,IF(N18="Needs Attention",Thresholds!$D$26,IF(N18="At Risk",Thresholds!$D$27,0)))</f>
        <v>0</v>
      </c>
      <c r="S18" s="52" t="str">
        <f aca="false">IF(N18="At Risk",COUNTIF($N$5:N18,"At Risk"),IF(N18="Needs Attention",COUNTIF($N$5:$N$33,"At Risk")+COUNTIF($N$5:N18,"Needs Attention"),""))</f>
        <v/>
      </c>
    </row>
    <row r="19" customFormat="false" ht="91.5" hidden="false" customHeight="true" outlineLevel="0" collapsed="false">
      <c r="A19" s="59" t="s">
        <v>256</v>
      </c>
      <c r="B19" s="60" t="s">
        <v>246</v>
      </c>
      <c r="C19" s="27" t="s">
        <v>257</v>
      </c>
      <c r="D19" s="44" t="s">
        <v>258</v>
      </c>
      <c r="E19" s="45" t="s">
        <v>210</v>
      </c>
      <c r="F19" s="46" t="s">
        <v>219</v>
      </c>
      <c r="G19" s="46" t="n">
        <v>3</v>
      </c>
      <c r="H19" s="44" t="s">
        <v>259</v>
      </c>
      <c r="I19" s="44" t="s">
        <v>260</v>
      </c>
      <c r="J19" s="44" t="s">
        <v>261</v>
      </c>
      <c r="K19" s="54" t="s">
        <v>214</v>
      </c>
      <c r="L19" s="48"/>
      <c r="M19" s="46"/>
      <c r="N19" s="49" t="n">
        <f aca="false">IF(M19&lt;&gt;"",M19,L19)</f>
        <v>0</v>
      </c>
      <c r="O19" s="50"/>
      <c r="P19" s="51" t="str">
        <f aca="false">IF(N19="","Not scored",IF(AND(L19&lt;&gt;"",M19&lt;&gt;"",M19&lt;&gt;L19,O19=""),"Override: add evidence",IF(AND(E19&lt;&gt;"Data",N19&lt;&gt;"Satisfactory",O19=""),"Add evidence","")))</f>
        <v>Not scored</v>
      </c>
      <c r="Q19" s="44" t="s">
        <v>262</v>
      </c>
      <c r="R19" s="52" t="n">
        <f aca="false">IF(N19="Satisfactory",Thresholds!$D$25,IF(N19="Needs Attention",Thresholds!$D$26,IF(N19="At Risk",Thresholds!$D$27,0)))</f>
        <v>0</v>
      </c>
      <c r="S19" s="52" t="str">
        <f aca="false">IF(N19="At Risk",COUNTIF($N$5:N19,"At Risk"),IF(N19="Needs Attention",COUNTIF($N$5:$N$33,"At Risk")+COUNTIF($N$5:N19,"Needs Attention"),""))</f>
        <v/>
      </c>
    </row>
    <row r="20" customFormat="false" ht="91.5" hidden="false" customHeight="true" outlineLevel="0" collapsed="false">
      <c r="A20" s="59" t="s">
        <v>263</v>
      </c>
      <c r="B20" s="60" t="s">
        <v>246</v>
      </c>
      <c r="C20" s="27" t="s">
        <v>264</v>
      </c>
      <c r="D20" s="44" t="s">
        <v>265</v>
      </c>
      <c r="E20" s="45" t="s">
        <v>210</v>
      </c>
      <c r="F20" s="46" t="s">
        <v>202</v>
      </c>
      <c r="G20" s="46" t="n">
        <v>1</v>
      </c>
      <c r="H20" s="44" t="s">
        <v>266</v>
      </c>
      <c r="I20" s="44" t="s">
        <v>267</v>
      </c>
      <c r="J20" s="44" t="s">
        <v>268</v>
      </c>
      <c r="K20" s="54" t="s">
        <v>214</v>
      </c>
      <c r="L20" s="48"/>
      <c r="M20" s="46"/>
      <c r="N20" s="49" t="n">
        <f aca="false">IF(M20&lt;&gt;"",M20,L20)</f>
        <v>0</v>
      </c>
      <c r="O20" s="50"/>
      <c r="P20" s="51" t="str">
        <f aca="false">IF(N20="","Not scored",IF(AND(L20&lt;&gt;"",M20&lt;&gt;"",M20&lt;&gt;L20,O20=""),"Override: add evidence",IF(AND(E20&lt;&gt;"Data",N20&lt;&gt;"Satisfactory",O20=""),"Add evidence","")))</f>
        <v>Not scored</v>
      </c>
      <c r="Q20" s="44" t="s">
        <v>269</v>
      </c>
      <c r="R20" s="52" t="n">
        <f aca="false">IF(N20="Satisfactory",Thresholds!$D$25,IF(N20="Needs Attention",Thresholds!$D$26,IF(N20="At Risk",Thresholds!$D$27,0)))</f>
        <v>0</v>
      </c>
      <c r="S20" s="52" t="str">
        <f aca="false">IF(N20="At Risk",COUNTIF($N$5:N20,"At Risk"),IF(N20="Needs Attention",COUNTIF($N$5:$N$33,"At Risk")+COUNTIF($N$5:N20,"Needs Attention"),""))</f>
        <v/>
      </c>
    </row>
    <row r="21" customFormat="false" ht="91.5" hidden="false" customHeight="true" outlineLevel="0" collapsed="false">
      <c r="A21" s="61" t="s">
        <v>162</v>
      </c>
      <c r="B21" s="62" t="s">
        <v>270</v>
      </c>
      <c r="C21" s="27" t="s">
        <v>271</v>
      </c>
      <c r="D21" s="44" t="s">
        <v>272</v>
      </c>
      <c r="E21" s="45" t="s">
        <v>201</v>
      </c>
      <c r="F21" s="46" t="s">
        <v>202</v>
      </c>
      <c r="G21" s="46" t="n">
        <v>3</v>
      </c>
      <c r="H21" s="44" t="str">
        <f aca="false">IF(Thresholds!$D$18=0,"Paid within terms","No more than "&amp;TEXT(Thresholds!$D$18,"0")&amp;" days over terms")&amp;", and not slowing by more than "&amp;TEXT(Thresholds!$D$19,"0")&amp;" days"</f>
        <v>Paid within terms, and not slowing by more than 5 days</v>
      </c>
      <c r="I21" s="44" t="str">
        <f aca="false">"Up to "&amp;TEXT(Thresholds!$E$18,"0")&amp;" days over terms, or slowing by up to "&amp;TEXT(Thresholds!$E$19,"0")&amp;" days"</f>
        <v>Up to 15 days over terms, or slowing by up to 15 days</v>
      </c>
      <c r="J21" s="44" t="str">
        <f aca="false">"More than "&amp;TEXT(Thresholds!$E$18,"0")&amp;" days over terms, or slowing by more than "&amp;TEXT(Thresholds!$E$19,"0")&amp;" days vs. prior 90 days"</f>
        <v>More than 15 days over terms, or slowing by more than 15 days vs. prior 90 days</v>
      </c>
      <c r="K21" s="63" t="str">
        <f aca="false">'Data Inputs'!$G$22</f>
        <v/>
      </c>
      <c r="L21" s="48" t="str">
        <f aca="false">IF('Data Inputs'!$G$22="","",IF(OR('Data Inputs'!$G$22&gt;Thresholds!$E$18,IF('Data Inputs'!$D$23="",0,'Data Inputs'!$D$22-'Data Inputs'!$D$23)&gt;Thresholds!$E$19),"At Risk",IF(OR('Data Inputs'!$G$22&gt;Thresholds!$D$18,IF('Data Inputs'!$D$23="",0,'Data Inputs'!$D$22-'Data Inputs'!$D$23)&gt;Thresholds!$D$19),"Needs Attention","Satisfactory")))</f>
        <v/>
      </c>
      <c r="M21" s="46"/>
      <c r="N21" s="49" t="str">
        <f aca="false">IF(M21&lt;&gt;"",M21,L21)</f>
        <v/>
      </c>
      <c r="O21" s="50"/>
      <c r="P21" s="51" t="str">
        <f aca="false">IF(N21="","Not scored",IF(AND(L21&lt;&gt;"",M21&lt;&gt;"",M21&lt;&gt;L21,O21=""),"Override: add evidence",IF(AND(E21&lt;&gt;"Data",N21&lt;&gt;"Satisfactory",O21=""),"Add evidence","")))</f>
        <v>Not scored</v>
      </c>
      <c r="Q21" s="44" t="s">
        <v>273</v>
      </c>
      <c r="R21" s="52" t="n">
        <f aca="false">IF(N21="Satisfactory",Thresholds!$D$25,IF(N21="Needs Attention",Thresholds!$D$26,IF(N21="At Risk",Thresholds!$D$27,0)))</f>
        <v>0</v>
      </c>
      <c r="S21" s="52" t="str">
        <f aca="false">IF(N21="At Risk",COUNTIF($N$5:N21,"At Risk"),IF(N21="Needs Attention",COUNTIF($N$5:$N$33,"At Risk")+COUNTIF($N$5:N21,"Needs Attention"),""))</f>
        <v/>
      </c>
    </row>
    <row r="22" customFormat="false" ht="91.5" hidden="false" customHeight="true" outlineLevel="0" collapsed="false">
      <c r="A22" s="61" t="s">
        <v>168</v>
      </c>
      <c r="B22" s="62" t="s">
        <v>270</v>
      </c>
      <c r="C22" s="27" t="s">
        <v>274</v>
      </c>
      <c r="D22" s="44" t="s">
        <v>275</v>
      </c>
      <c r="E22" s="45" t="s">
        <v>201</v>
      </c>
      <c r="F22" s="46" t="s">
        <v>202</v>
      </c>
      <c r="G22" s="46" t="n">
        <v>2</v>
      </c>
      <c r="H22" s="44" t="str">
        <f aca="false">"At least "&amp;TEXT(Thresholds!$D$20,"0%")&amp;" approved"</f>
        <v>At least 60% approved</v>
      </c>
      <c r="I22" s="44" t="str">
        <f aca="false">"Between "&amp;TEXT(Thresholds!$E$20,"0%")&amp;" and "&amp;TEXT(Thresholds!$D$20,"0%")&amp;", or no proposals presented"</f>
        <v>Between 30% and 60%, or no proposals presented</v>
      </c>
      <c r="J22" s="44" t="str">
        <f aca="false">"Below "&amp;TEXT(Thresholds!$E$20,"0%")&amp;""</f>
        <v>Below 30%</v>
      </c>
      <c r="K22" s="47" t="str">
        <f aca="false">'Data Inputs'!$G$24</f>
        <v/>
      </c>
      <c r="L22" s="48" t="str">
        <f aca="false">IF('Data Inputs'!$G$24="","",IF('Data Inputs'!$G$24="none","Needs Attention",IF('Data Inputs'!$G$24&gt;=Thresholds!$D$20,"Satisfactory",IF('Data Inputs'!$G$24&lt;Thresholds!$E$20,"At Risk","Needs Attention"))))</f>
        <v/>
      </c>
      <c r="M22" s="46"/>
      <c r="N22" s="49" t="str">
        <f aca="false">IF(M22&lt;&gt;"",M22,L22)</f>
        <v/>
      </c>
      <c r="O22" s="50"/>
      <c r="P22" s="51" t="str">
        <f aca="false">IF(N22="","Not scored",IF(AND(L22&lt;&gt;"",M22&lt;&gt;"",M22&lt;&gt;L22,O22=""),"Override: add evidence",IF(AND(E22&lt;&gt;"Data",N22&lt;&gt;"Satisfactory",O22=""),"Add evidence","")))</f>
        <v>Not scored</v>
      </c>
      <c r="Q22" s="44" t="s">
        <v>276</v>
      </c>
      <c r="R22" s="52" t="n">
        <f aca="false">IF(N22="Satisfactory",Thresholds!$D$25,IF(N22="Needs Attention",Thresholds!$D$26,IF(N22="At Risk",Thresholds!$D$27,0)))</f>
        <v>0</v>
      </c>
      <c r="S22" s="52" t="str">
        <f aca="false">IF(N22="At Risk",COUNTIF($N$5:N22,"At Risk"),IF(N22="Needs Attention",COUNTIF($N$5:$N$33,"At Risk")+COUNTIF($N$5:N22,"Needs Attention"),""))</f>
        <v/>
      </c>
    </row>
    <row r="23" customFormat="false" ht="91.5" hidden="false" customHeight="true" outlineLevel="0" collapsed="false">
      <c r="A23" s="61" t="s">
        <v>174</v>
      </c>
      <c r="B23" s="62" t="s">
        <v>270</v>
      </c>
      <c r="C23" s="27" t="s">
        <v>277</v>
      </c>
      <c r="D23" s="44" t="s">
        <v>278</v>
      </c>
      <c r="E23" s="45" t="s">
        <v>201</v>
      </c>
      <c r="F23" s="46" t="s">
        <v>202</v>
      </c>
      <c r="G23" s="46" t="n">
        <v>1</v>
      </c>
      <c r="H23" s="44" t="str">
        <f aca="false">IF(Thresholds!$D$21=0,"None","No more than "&amp;Thresholds!$D$21&amp;"")</f>
        <v>None</v>
      </c>
      <c r="I23" s="44" t="str">
        <f aca="false">IF(Thresholds!$E$21-Thresholds!$D$21=1,Thresholds!$E$21&amp;"","Between "&amp;(Thresholds!$D$21+1)&amp;" and "&amp;Thresholds!$E$21&amp;"")</f>
        <v>Between 1 and 2</v>
      </c>
      <c r="J23" s="44" t="str">
        <f aca="false">(Thresholds!$E$21+1)&amp;" or more"</f>
        <v>3 or more</v>
      </c>
      <c r="K23" s="55" t="str">
        <f aca="false">'Data Inputs'!$G$26</f>
        <v/>
      </c>
      <c r="L23" s="48" t="str">
        <f aca="false">IF('Data Inputs'!$G$26="","",IF('Data Inputs'!$G$26&lt;=Thresholds!$D$21,"Satisfactory",IF('Data Inputs'!$G$26&gt;Thresholds!$E$21,"At Risk","Needs Attention")))</f>
        <v/>
      </c>
      <c r="M23" s="46"/>
      <c r="N23" s="49" t="str">
        <f aca="false">IF(M23&lt;&gt;"",M23,L23)</f>
        <v/>
      </c>
      <c r="O23" s="50"/>
      <c r="P23" s="51" t="str">
        <f aca="false">IF(N23="","Not scored",IF(AND(L23&lt;&gt;"",M23&lt;&gt;"",M23&lt;&gt;L23,O23=""),"Override: add evidence",IF(AND(E23&lt;&gt;"Data",N23&lt;&gt;"Satisfactory",O23=""),"Add evidence","")))</f>
        <v>Not scored</v>
      </c>
      <c r="Q23" s="44" t="s">
        <v>279</v>
      </c>
      <c r="R23" s="52" t="n">
        <f aca="false">IF(N23="Satisfactory",Thresholds!$D$25,IF(N23="Needs Attention",Thresholds!$D$26,IF(N23="At Risk",Thresholds!$D$27,0)))</f>
        <v>0</v>
      </c>
      <c r="S23" s="52" t="str">
        <f aca="false">IF(N23="At Risk",COUNTIF($N$5:N23,"At Risk"),IF(N23="Needs Attention",COUNTIF($N$5:$N$33,"At Risk")+COUNTIF($N$5:N23,"Needs Attention"),""))</f>
        <v/>
      </c>
    </row>
    <row r="24" customFormat="false" ht="91.5" hidden="false" customHeight="true" outlineLevel="0" collapsed="false">
      <c r="A24" s="61" t="s">
        <v>280</v>
      </c>
      <c r="B24" s="62" t="s">
        <v>270</v>
      </c>
      <c r="C24" s="27" t="s">
        <v>281</v>
      </c>
      <c r="D24" s="44" t="s">
        <v>282</v>
      </c>
      <c r="E24" s="45" t="s">
        <v>210</v>
      </c>
      <c r="F24" s="46" t="s">
        <v>202</v>
      </c>
      <c r="G24" s="46" t="n">
        <v>2</v>
      </c>
      <c r="H24" s="44" t="s">
        <v>283</v>
      </c>
      <c r="I24" s="44" t="s">
        <v>284</v>
      </c>
      <c r="J24" s="44" t="s">
        <v>285</v>
      </c>
      <c r="K24" s="54" t="s">
        <v>214</v>
      </c>
      <c r="L24" s="48"/>
      <c r="M24" s="46"/>
      <c r="N24" s="49" t="n">
        <f aca="false">IF(M24&lt;&gt;"",M24,L24)</f>
        <v>0</v>
      </c>
      <c r="O24" s="50"/>
      <c r="P24" s="51" t="str">
        <f aca="false">IF(N24="","Not scored",IF(AND(L24&lt;&gt;"",M24&lt;&gt;"",M24&lt;&gt;L24,O24=""),"Override: add evidence",IF(AND(E24&lt;&gt;"Data",N24&lt;&gt;"Satisfactory",O24=""),"Add evidence","")))</f>
        <v>Not scored</v>
      </c>
      <c r="Q24" s="44" t="s">
        <v>286</v>
      </c>
      <c r="R24" s="52" t="n">
        <f aca="false">IF(N24="Satisfactory",Thresholds!$D$25,IF(N24="Needs Attention",Thresholds!$D$26,IF(N24="At Risk",Thresholds!$D$27,0)))</f>
        <v>0</v>
      </c>
      <c r="S24" s="52" t="str">
        <f aca="false">IF(N24="At Risk",COUNTIF($N$5:N24,"At Risk"),IF(N24="Needs Attention",COUNTIF($N$5:$N$33,"At Risk")+COUNTIF($N$5:N24,"Needs Attention"),""))</f>
        <v/>
      </c>
    </row>
    <row r="25" customFormat="false" ht="91.5" hidden="false" customHeight="true" outlineLevel="0" collapsed="false">
      <c r="A25" s="64" t="s">
        <v>287</v>
      </c>
      <c r="B25" s="65" t="s">
        <v>288</v>
      </c>
      <c r="C25" s="27" t="s">
        <v>289</v>
      </c>
      <c r="D25" s="44" t="s">
        <v>290</v>
      </c>
      <c r="E25" s="45" t="s">
        <v>210</v>
      </c>
      <c r="F25" s="46" t="s">
        <v>202</v>
      </c>
      <c r="G25" s="46" t="n">
        <v>3</v>
      </c>
      <c r="H25" s="44" t="s">
        <v>291</v>
      </c>
      <c r="I25" s="44" t="s">
        <v>292</v>
      </c>
      <c r="J25" s="44" t="s">
        <v>293</v>
      </c>
      <c r="K25" s="54" t="s">
        <v>214</v>
      </c>
      <c r="L25" s="48"/>
      <c r="M25" s="46"/>
      <c r="N25" s="49" t="n">
        <f aca="false">IF(M25&lt;&gt;"",M25,L25)</f>
        <v>0</v>
      </c>
      <c r="O25" s="50"/>
      <c r="P25" s="51" t="str">
        <f aca="false">IF(N25="","Not scored",IF(AND(L25&lt;&gt;"",M25&lt;&gt;"",M25&lt;&gt;L25,O25=""),"Override: add evidence",IF(AND(E25&lt;&gt;"Data",N25&lt;&gt;"Satisfactory",O25=""),"Add evidence","")))</f>
        <v>Not scored</v>
      </c>
      <c r="Q25" s="44" t="s">
        <v>294</v>
      </c>
      <c r="R25" s="52" t="n">
        <f aca="false">IF(N25="Satisfactory",Thresholds!$D$25,IF(N25="Needs Attention",Thresholds!$D$26,IF(N25="At Risk",Thresholds!$D$27,0)))</f>
        <v>0</v>
      </c>
      <c r="S25" s="52" t="str">
        <f aca="false">IF(N25="At Risk",COUNTIF($N$5:N25,"At Risk"),IF(N25="Needs Attention",COUNTIF($N$5:$N$33,"At Risk")+COUNTIF($N$5:N25,"Needs Attention"),""))</f>
        <v/>
      </c>
    </row>
    <row r="26" customFormat="false" ht="91.5" hidden="false" customHeight="true" outlineLevel="0" collapsed="false">
      <c r="A26" s="64" t="s">
        <v>295</v>
      </c>
      <c r="B26" s="65" t="s">
        <v>288</v>
      </c>
      <c r="C26" s="27" t="s">
        <v>296</v>
      </c>
      <c r="D26" s="44" t="s">
        <v>297</v>
      </c>
      <c r="E26" s="45" t="s">
        <v>210</v>
      </c>
      <c r="F26" s="46" t="s">
        <v>202</v>
      </c>
      <c r="G26" s="46" t="n">
        <v>2</v>
      </c>
      <c r="H26" s="44" t="s">
        <v>298</v>
      </c>
      <c r="I26" s="44" t="s">
        <v>299</v>
      </c>
      <c r="J26" s="44" t="s">
        <v>300</v>
      </c>
      <c r="K26" s="54" t="s">
        <v>214</v>
      </c>
      <c r="L26" s="48"/>
      <c r="M26" s="46"/>
      <c r="N26" s="49" t="n">
        <f aca="false">IF(M26&lt;&gt;"",M26,L26)</f>
        <v>0</v>
      </c>
      <c r="O26" s="50"/>
      <c r="P26" s="51" t="str">
        <f aca="false">IF(N26="","Not scored",IF(AND(L26&lt;&gt;"",M26&lt;&gt;"",M26&lt;&gt;L26,O26=""),"Override: add evidence",IF(AND(E26&lt;&gt;"Data",N26&lt;&gt;"Satisfactory",O26=""),"Add evidence","")))</f>
        <v>Not scored</v>
      </c>
      <c r="Q26" s="44" t="s">
        <v>301</v>
      </c>
      <c r="R26" s="52" t="n">
        <f aca="false">IF(N26="Satisfactory",Thresholds!$D$25,IF(N26="Needs Attention",Thresholds!$D$26,IF(N26="At Risk",Thresholds!$D$27,0)))</f>
        <v>0</v>
      </c>
      <c r="S26" s="52" t="str">
        <f aca="false">IF(N26="At Risk",COUNTIF($N$5:N26,"At Risk"),IF(N26="Needs Attention",COUNTIF($N$5:$N$33,"At Risk")+COUNTIF($N$5:N26,"Needs Attention"),""))</f>
        <v/>
      </c>
    </row>
    <row r="27" customFormat="false" ht="91.5" hidden="false" customHeight="true" outlineLevel="0" collapsed="false">
      <c r="A27" s="64" t="s">
        <v>302</v>
      </c>
      <c r="B27" s="65" t="s">
        <v>288</v>
      </c>
      <c r="C27" s="27" t="s">
        <v>303</v>
      </c>
      <c r="D27" s="44" t="s">
        <v>304</v>
      </c>
      <c r="E27" s="45" t="s">
        <v>210</v>
      </c>
      <c r="F27" s="46" t="s">
        <v>202</v>
      </c>
      <c r="G27" s="46" t="n">
        <v>2</v>
      </c>
      <c r="H27" s="44" t="s">
        <v>305</v>
      </c>
      <c r="I27" s="44" t="s">
        <v>306</v>
      </c>
      <c r="J27" s="44" t="s">
        <v>307</v>
      </c>
      <c r="K27" s="54" t="s">
        <v>214</v>
      </c>
      <c r="L27" s="48"/>
      <c r="M27" s="46"/>
      <c r="N27" s="49" t="n">
        <f aca="false">IF(M27&lt;&gt;"",M27,L27)</f>
        <v>0</v>
      </c>
      <c r="O27" s="50"/>
      <c r="P27" s="51" t="str">
        <f aca="false">IF(N27="","Not scored",IF(AND(L27&lt;&gt;"",M27&lt;&gt;"",M27&lt;&gt;L27,O27=""),"Override: add evidence",IF(AND(E27&lt;&gt;"Data",N27&lt;&gt;"Satisfactory",O27=""),"Add evidence","")))</f>
        <v>Not scored</v>
      </c>
      <c r="Q27" s="44" t="s">
        <v>308</v>
      </c>
      <c r="R27" s="52" t="n">
        <f aca="false">IF(N27="Satisfactory",Thresholds!$D$25,IF(N27="Needs Attention",Thresholds!$D$26,IF(N27="At Risk",Thresholds!$D$27,0)))</f>
        <v>0</v>
      </c>
      <c r="S27" s="52" t="str">
        <f aca="false">IF(N27="At Risk",COUNTIF($N$5:N27,"At Risk"),IF(N27="Needs Attention",COUNTIF($N$5:$N$33,"At Risk")+COUNTIF($N$5:N27,"Needs Attention"),""))</f>
        <v/>
      </c>
    </row>
    <row r="28" customFormat="false" ht="91.5" hidden="false" customHeight="true" outlineLevel="0" collapsed="false">
      <c r="A28" s="64" t="s">
        <v>309</v>
      </c>
      <c r="B28" s="65" t="s">
        <v>288</v>
      </c>
      <c r="C28" s="27" t="s">
        <v>310</v>
      </c>
      <c r="D28" s="44" t="s">
        <v>311</v>
      </c>
      <c r="E28" s="45" t="s">
        <v>210</v>
      </c>
      <c r="F28" s="46" t="s">
        <v>202</v>
      </c>
      <c r="G28" s="46" t="n">
        <v>2</v>
      </c>
      <c r="H28" s="44" t="s">
        <v>312</v>
      </c>
      <c r="I28" s="44" t="s">
        <v>313</v>
      </c>
      <c r="J28" s="44" t="s">
        <v>314</v>
      </c>
      <c r="K28" s="54" t="s">
        <v>214</v>
      </c>
      <c r="L28" s="48"/>
      <c r="M28" s="46"/>
      <c r="N28" s="49" t="n">
        <f aca="false">IF(M28&lt;&gt;"",M28,L28)</f>
        <v>0</v>
      </c>
      <c r="O28" s="50"/>
      <c r="P28" s="51" t="str">
        <f aca="false">IF(N28="","Not scored",IF(AND(L28&lt;&gt;"",M28&lt;&gt;"",M28&lt;&gt;L28,O28=""),"Override: add evidence",IF(AND(E28&lt;&gt;"Data",N28&lt;&gt;"Satisfactory",O28=""),"Add evidence","")))</f>
        <v>Not scored</v>
      </c>
      <c r="Q28" s="44" t="s">
        <v>315</v>
      </c>
      <c r="R28" s="52" t="n">
        <f aca="false">IF(N28="Satisfactory",Thresholds!$D$25,IF(N28="Needs Attention",Thresholds!$D$26,IF(N28="At Risk",Thresholds!$D$27,0)))</f>
        <v>0</v>
      </c>
      <c r="S28" s="52" t="str">
        <f aca="false">IF(N28="At Risk",COUNTIF($N$5:N28,"At Risk"),IF(N28="Needs Attention",COUNTIF($N$5:$N$33,"At Risk")+COUNTIF($N$5:N28,"Needs Attention"),""))</f>
        <v/>
      </c>
    </row>
    <row r="29" customFormat="false" ht="91.5" hidden="false" customHeight="true" outlineLevel="0" collapsed="false">
      <c r="A29" s="66" t="s">
        <v>316</v>
      </c>
      <c r="B29" s="67" t="s">
        <v>317</v>
      </c>
      <c r="C29" s="27" t="s">
        <v>318</v>
      </c>
      <c r="D29" s="44" t="s">
        <v>319</v>
      </c>
      <c r="E29" s="45" t="s">
        <v>320</v>
      </c>
      <c r="F29" s="46" t="s">
        <v>219</v>
      </c>
      <c r="G29" s="46" t="n">
        <v>1</v>
      </c>
      <c r="H29" s="44" t="s">
        <v>321</v>
      </c>
      <c r="I29" s="44" t="s">
        <v>322</v>
      </c>
      <c r="J29" s="44" t="s">
        <v>323</v>
      </c>
      <c r="K29" s="54" t="s">
        <v>214</v>
      </c>
      <c r="L29" s="48"/>
      <c r="M29" s="46"/>
      <c r="N29" s="49" t="n">
        <f aca="false">IF(M29&lt;&gt;"",M29,L29)</f>
        <v>0</v>
      </c>
      <c r="O29" s="50"/>
      <c r="P29" s="51" t="str">
        <f aca="false">IF(N29="","Not scored",IF(AND(L29&lt;&gt;"",M29&lt;&gt;"",M29&lt;&gt;L29,O29=""),"Override: add evidence",IF(AND(E29&lt;&gt;"Data",N29&lt;&gt;"Satisfactory",O29=""),"Add evidence","")))</f>
        <v>Not scored</v>
      </c>
      <c r="Q29" s="44" t="s">
        <v>324</v>
      </c>
      <c r="R29" s="52" t="n">
        <f aca="false">IF(N29="Satisfactory",Thresholds!$D$25,IF(N29="Needs Attention",Thresholds!$D$26,IF(N29="At Risk",Thresholds!$D$27,0)))</f>
        <v>0</v>
      </c>
      <c r="S29" s="52" t="str">
        <f aca="false">IF(N29="At Risk",COUNTIF($N$5:N29,"At Risk"),IF(N29="Needs Attention",COUNTIF($N$5:$N$33,"At Risk")+COUNTIF($N$5:N29,"Needs Attention"),""))</f>
        <v/>
      </c>
    </row>
    <row r="30" customFormat="false" ht="91.5" hidden="false" customHeight="true" outlineLevel="0" collapsed="false">
      <c r="A30" s="66" t="s">
        <v>325</v>
      </c>
      <c r="B30" s="67" t="s">
        <v>317</v>
      </c>
      <c r="C30" s="27" t="s">
        <v>326</v>
      </c>
      <c r="D30" s="44" t="s">
        <v>327</v>
      </c>
      <c r="E30" s="45" t="s">
        <v>320</v>
      </c>
      <c r="F30" s="46" t="s">
        <v>219</v>
      </c>
      <c r="G30" s="46" t="n">
        <v>1</v>
      </c>
      <c r="H30" s="44" t="s">
        <v>321</v>
      </c>
      <c r="I30" s="44" t="s">
        <v>322</v>
      </c>
      <c r="J30" s="44" t="s">
        <v>323</v>
      </c>
      <c r="K30" s="54" t="s">
        <v>214</v>
      </c>
      <c r="L30" s="48"/>
      <c r="M30" s="46"/>
      <c r="N30" s="49" t="n">
        <f aca="false">IF(M30&lt;&gt;"",M30,L30)</f>
        <v>0</v>
      </c>
      <c r="O30" s="50"/>
      <c r="P30" s="51" t="str">
        <f aca="false">IF(N30="","Not scored",IF(AND(L30&lt;&gt;"",M30&lt;&gt;"",M30&lt;&gt;L30,O30=""),"Override: add evidence",IF(AND(E30&lt;&gt;"Data",N30&lt;&gt;"Satisfactory",O30=""),"Add evidence","")))</f>
        <v>Not scored</v>
      </c>
      <c r="Q30" s="44" t="s">
        <v>328</v>
      </c>
      <c r="R30" s="52" t="n">
        <f aca="false">IF(N30="Satisfactory",Thresholds!$D$25,IF(N30="Needs Attention",Thresholds!$D$26,IF(N30="At Risk",Thresholds!$D$27,0)))</f>
        <v>0</v>
      </c>
      <c r="S30" s="52" t="str">
        <f aca="false">IF(N30="At Risk",COUNTIF($N$5:N30,"At Risk"),IF(N30="Needs Attention",COUNTIF($N$5:$N$33,"At Risk")+COUNTIF($N$5:N30,"Needs Attention"),""))</f>
        <v/>
      </c>
    </row>
    <row r="31" customFormat="false" ht="91.5" hidden="false" customHeight="true" outlineLevel="0" collapsed="false">
      <c r="A31" s="66" t="s">
        <v>329</v>
      </c>
      <c r="B31" s="67" t="s">
        <v>317</v>
      </c>
      <c r="C31" s="27" t="s">
        <v>330</v>
      </c>
      <c r="D31" s="44" t="s">
        <v>331</v>
      </c>
      <c r="E31" s="45" t="s">
        <v>320</v>
      </c>
      <c r="F31" s="46" t="s">
        <v>219</v>
      </c>
      <c r="G31" s="46" t="n">
        <v>1</v>
      </c>
      <c r="H31" s="44" t="s">
        <v>321</v>
      </c>
      <c r="I31" s="44" t="s">
        <v>322</v>
      </c>
      <c r="J31" s="44" t="s">
        <v>323</v>
      </c>
      <c r="K31" s="54" t="s">
        <v>214</v>
      </c>
      <c r="L31" s="48"/>
      <c r="M31" s="46"/>
      <c r="N31" s="49" t="n">
        <f aca="false">IF(M31&lt;&gt;"",M31,L31)</f>
        <v>0</v>
      </c>
      <c r="O31" s="50"/>
      <c r="P31" s="51" t="str">
        <f aca="false">IF(N31="","Not scored",IF(AND(L31&lt;&gt;"",M31&lt;&gt;"",M31&lt;&gt;L31,O31=""),"Override: add evidence",IF(AND(E31&lt;&gt;"Data",N31&lt;&gt;"Satisfactory",O31=""),"Add evidence","")))</f>
        <v>Not scored</v>
      </c>
      <c r="Q31" s="44" t="s">
        <v>332</v>
      </c>
      <c r="R31" s="52" t="n">
        <f aca="false">IF(N31="Satisfactory",Thresholds!$D$25,IF(N31="Needs Attention",Thresholds!$D$26,IF(N31="At Risk",Thresholds!$D$27,0)))</f>
        <v>0</v>
      </c>
      <c r="S31" s="52" t="str">
        <f aca="false">IF(N31="At Risk",COUNTIF($N$5:N31,"At Risk"),IF(N31="Needs Attention",COUNTIF($N$5:$N$33,"At Risk")+COUNTIF($N$5:N31,"Needs Attention"),""))</f>
        <v/>
      </c>
    </row>
    <row r="32" customFormat="false" ht="91.5" hidden="false" customHeight="true" outlineLevel="0" collapsed="false">
      <c r="A32" s="66" t="s">
        <v>333</v>
      </c>
      <c r="B32" s="67" t="s">
        <v>317</v>
      </c>
      <c r="C32" s="27" t="s">
        <v>334</v>
      </c>
      <c r="D32" s="44" t="s">
        <v>335</v>
      </c>
      <c r="E32" s="45" t="s">
        <v>320</v>
      </c>
      <c r="F32" s="46" t="s">
        <v>219</v>
      </c>
      <c r="G32" s="46" t="n">
        <v>1</v>
      </c>
      <c r="H32" s="44" t="s">
        <v>321</v>
      </c>
      <c r="I32" s="44" t="s">
        <v>322</v>
      </c>
      <c r="J32" s="44" t="s">
        <v>323</v>
      </c>
      <c r="K32" s="54" t="s">
        <v>214</v>
      </c>
      <c r="L32" s="48"/>
      <c r="M32" s="46"/>
      <c r="N32" s="49" t="n">
        <f aca="false">IF(M32&lt;&gt;"",M32,L32)</f>
        <v>0</v>
      </c>
      <c r="O32" s="50"/>
      <c r="P32" s="51" t="str">
        <f aca="false">IF(N32="","Not scored",IF(AND(L32&lt;&gt;"",M32&lt;&gt;"",M32&lt;&gt;L32,O32=""),"Override: add evidence",IF(AND(E32&lt;&gt;"Data",N32&lt;&gt;"Satisfactory",O32=""),"Add evidence","")))</f>
        <v>Not scored</v>
      </c>
      <c r="Q32" s="44" t="s">
        <v>336</v>
      </c>
      <c r="R32" s="52" t="n">
        <f aca="false">IF(N32="Satisfactory",Thresholds!$D$25,IF(N32="Needs Attention",Thresholds!$D$26,IF(N32="At Risk",Thresholds!$D$27,0)))</f>
        <v>0</v>
      </c>
      <c r="S32" s="52" t="str">
        <f aca="false">IF(N32="At Risk",COUNTIF($N$5:N32,"At Risk"),IF(N32="Needs Attention",COUNTIF($N$5:$N$33,"At Risk")+COUNTIF($N$5:N32,"Needs Attention"),""))</f>
        <v/>
      </c>
    </row>
    <row r="33" customFormat="false" ht="91.5" hidden="false" customHeight="true" outlineLevel="0" collapsed="false">
      <c r="A33" s="66" t="s">
        <v>337</v>
      </c>
      <c r="B33" s="67" t="s">
        <v>317</v>
      </c>
      <c r="C33" s="27" t="s">
        <v>338</v>
      </c>
      <c r="D33" s="44" t="s">
        <v>339</v>
      </c>
      <c r="E33" s="45" t="s">
        <v>320</v>
      </c>
      <c r="F33" s="46" t="s">
        <v>219</v>
      </c>
      <c r="G33" s="46" t="n">
        <v>1</v>
      </c>
      <c r="H33" s="44" t="s">
        <v>340</v>
      </c>
      <c r="I33" s="44" t="s">
        <v>341</v>
      </c>
      <c r="J33" s="44" t="s">
        <v>323</v>
      </c>
      <c r="K33" s="54" t="s">
        <v>214</v>
      </c>
      <c r="L33" s="48"/>
      <c r="M33" s="46"/>
      <c r="N33" s="49" t="n">
        <f aca="false">IF(M33&lt;&gt;"",M33,L33)</f>
        <v>0</v>
      </c>
      <c r="O33" s="50"/>
      <c r="P33" s="51" t="str">
        <f aca="false">IF(N33="","Not scored",IF(AND(L33&lt;&gt;"",M33&lt;&gt;"",M33&lt;&gt;L33,O33=""),"Override: add evidence",IF(AND(E33&lt;&gt;"Data",N33&lt;&gt;"Satisfactory",O33=""),"Add evidence","")))</f>
        <v>Not scored</v>
      </c>
      <c r="Q33" s="44" t="s">
        <v>342</v>
      </c>
      <c r="R33" s="52" t="n">
        <f aca="false">IF(N33="Satisfactory",Thresholds!$D$25,IF(N33="Needs Attention",Thresholds!$D$26,IF(N33="At Risk",Thresholds!$D$27,0)))</f>
        <v>0</v>
      </c>
      <c r="S33" s="52" t="str">
        <f aca="false">IF(N33="At Risk",COUNTIF($N$5:N33,"At Risk"),IF(N33="Needs Attention",COUNTIF($N$5:$N$33,"At Risk")+COUNTIF($N$5:N33,"Needs Attention"),""))</f>
        <v/>
      </c>
    </row>
  </sheetData>
  <conditionalFormatting sqref="L5:L33">
    <cfRule type="expression" priority="2" aboveAverage="0" equalAverage="0" bottom="0" percent="0" rank="0" text="" dxfId="0">
      <formula>L5="Satisfactory"</formula>
    </cfRule>
    <cfRule type="expression" priority="3" aboveAverage="0" equalAverage="0" bottom="0" percent="0" rank="0" text="" dxfId="1">
      <formula>L5="Needs Attention"</formula>
    </cfRule>
    <cfRule type="expression" priority="4" aboveAverage="0" equalAverage="0" bottom="0" percent="0" rank="0" text="" dxfId="2">
      <formula>L5="At Risk"</formula>
    </cfRule>
  </conditionalFormatting>
  <conditionalFormatting sqref="M5:M33">
    <cfRule type="expression" priority="5" aboveAverage="0" equalAverage="0" bottom="0" percent="0" rank="0" text="" dxfId="0">
      <formula>M5="Satisfactory"</formula>
    </cfRule>
    <cfRule type="expression" priority="6" aboveAverage="0" equalAverage="0" bottom="0" percent="0" rank="0" text="" dxfId="1">
      <formula>M5="Needs Attention"</formula>
    </cfRule>
    <cfRule type="expression" priority="7" aboveAverage="0" equalAverage="0" bottom="0" percent="0" rank="0" text="" dxfId="2">
      <formula>M5="At Risk"</formula>
    </cfRule>
  </conditionalFormatting>
  <conditionalFormatting sqref="N5:N33">
    <cfRule type="expression" priority="8" aboveAverage="0" equalAverage="0" bottom="0" percent="0" rank="0" text="" dxfId="0">
      <formula>N5="Satisfactory"</formula>
    </cfRule>
    <cfRule type="expression" priority="9" aboveAverage="0" equalAverage="0" bottom="0" percent="0" rank="0" text="" dxfId="1">
      <formula>N5="Needs Attention"</formula>
    </cfRule>
    <cfRule type="expression" priority="10" aboveAverage="0" equalAverage="0" bottom="0" percent="0" rank="0" text="" dxfId="2">
      <formula>N5="At Risk"</formula>
    </cfRule>
  </conditionalFormatting>
  <conditionalFormatting sqref="P5:P33">
    <cfRule type="expression" priority="11" aboveAverage="0" equalAverage="0" bottom="0" percent="0" rank="0" text="" dxfId="3">
      <formula>P5&lt;&gt;""</formula>
    </cfRule>
  </conditionalFormatting>
  <dataValidations count="3">
    <dataValidation allowBlank="true" error="Choose Satisfactory, Needs Attention, or At Risk." errorStyle="stop" errorTitle="Invalid outcome" operator="between" showDropDown="false" showErrorMessage="true" showInputMessage="false" sqref="M5:M33" type="list">
      <formula1>Lists!$A$1:$A$3</formula1>
      <formula2>0</formula2>
    </dataValidation>
    <dataValidation allowBlank="false" errorStyle="stop" operator="between" showDropDown="false" showErrorMessage="false" showInputMessage="false" sqref="F5:F33" type="list">
      <formula1>Lists!$B$1:$B$2</formula1>
      <formula2>0</formula2>
    </dataValidation>
    <dataValidation allowBlank="false" errorStyle="stop" operator="between" showDropDown="false" showErrorMessage="false" showInputMessage="false" sqref="G5:G33" type="list">
      <formula1>Lists!$C$1:$C$3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27.75" hidden="false" customHeight="true" outlineLevel="0" collapsed="false">
      <c r="A1" s="1" t="s">
        <v>343</v>
      </c>
      <c r="B1" s="2"/>
      <c r="C1" s="2"/>
      <c r="D1" s="2"/>
      <c r="E1" s="2"/>
      <c r="F1" s="2"/>
      <c r="G1" s="3" t="s">
        <v>1</v>
      </c>
      <c r="H1" s="3"/>
    </row>
    <row r="2" customFormat="false" ht="18" hidden="false" customHeight="true" outlineLevel="0" collapsed="false">
      <c r="A2" s="4" t="s">
        <v>344</v>
      </c>
      <c r="B2" s="2"/>
      <c r="C2" s="2"/>
      <c r="D2" s="2"/>
      <c r="E2" s="2"/>
      <c r="F2" s="2"/>
      <c r="G2" s="3"/>
      <c r="H2" s="3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5" customFormat="false" ht="17.35" hidden="false" customHeight="false" outlineLevel="0" collapsed="false">
      <c r="A5" s="13" t="s">
        <v>345</v>
      </c>
      <c r="B5" s="68" t="str">
        <f aca="false">IF('Client Info'!$B$6="","",'Client Info'!$B$6)</f>
        <v/>
      </c>
      <c r="C5" s="68"/>
      <c r="E5" s="13" t="s">
        <v>346</v>
      </c>
      <c r="F5" s="69" t="str">
        <f aca="false">IF(SUMPRODUCT(Assessment!$G$5:$G$33,--(Assessment!$N$5:$N$33&lt;&gt;""))=0,"",ROUND(SUMPRODUCT(Assessment!$G$5:$G$33,Assessment!$R$5:$R$33)/SUMPRODUCT(Assessment!$G$5:$G$33,--(Assessment!$N$5:$N$33&lt;&gt;"")),0))</f>
        <v/>
      </c>
      <c r="G5" s="69"/>
      <c r="H5" s="69"/>
    </row>
    <row r="6" customFormat="false" ht="17.35" hidden="false" customHeight="false" outlineLevel="0" collapsed="false">
      <c r="A6" s="13" t="s">
        <v>66</v>
      </c>
      <c r="B6" s="68" t="str">
        <f aca="false">IF('Client Info'!$B$5="","",'Client Info'!$B$5)</f>
        <v/>
      </c>
      <c r="C6" s="68"/>
      <c r="E6" s="13" t="s">
        <v>347</v>
      </c>
      <c r="F6" s="70" t="str">
        <f aca="false">IF(F5="","Not scored",IF(AND(Thresholds!$D$30="Yes",F8&gt;0),"At Risk",IF(F5&gt;=Thresholds!$D$28,"Healthy",IF(F5&gt;=Thresholds!$D$29,"Watch","At Risk"))))</f>
        <v>Not scored</v>
      </c>
      <c r="G6" s="70"/>
      <c r="H6" s="70"/>
    </row>
    <row r="7" customFormat="false" ht="15" hidden="false" customHeight="false" outlineLevel="0" collapsed="false">
      <c r="A7" s="13" t="s">
        <v>71</v>
      </c>
      <c r="B7" s="71" t="str">
        <f aca="false">IF('Client Info'!$B$7="","",'Client Info'!$B$7)</f>
        <v/>
      </c>
      <c r="C7" s="71"/>
      <c r="E7" s="13" t="s">
        <v>348</v>
      </c>
      <c r="F7" s="68" t="str">
        <f aca="false">SUMPRODUCT(--(Assessment!$N$5:$N$33&lt;&gt;""))&amp;" of 29"</f>
        <v>0 of 29</v>
      </c>
      <c r="G7" s="68"/>
      <c r="H7" s="68"/>
    </row>
    <row r="8" customFormat="false" ht="15" hidden="false" customHeight="false" outlineLevel="0" collapsed="false">
      <c r="A8" s="13" t="s">
        <v>73</v>
      </c>
      <c r="B8" s="68" t="str">
        <f aca="false">IF('Client Info'!$B$8="","",'Client Info'!$B$8)</f>
        <v/>
      </c>
      <c r="C8" s="68"/>
      <c r="E8" s="13" t="s">
        <v>349</v>
      </c>
      <c r="F8" s="72" t="n">
        <f aca="false">SUMPRODUCT((Assessment!$F$5:$F$33="Y")*(Assessment!$N$5:$N$33="At Risk"))</f>
        <v>0</v>
      </c>
      <c r="G8" s="72"/>
      <c r="H8" s="72"/>
    </row>
    <row r="9" customFormat="false" ht="15" hidden="false" customHeight="false" outlineLevel="0" collapsed="false">
      <c r="A9" s="13" t="s">
        <v>350</v>
      </c>
      <c r="B9" s="71" t="str">
        <f aca="false">IF('Client Info'!$B$14="","",'Client Info'!$B$14)</f>
        <v/>
      </c>
      <c r="C9" s="71"/>
      <c r="E9" s="13" t="s">
        <v>351</v>
      </c>
      <c r="F9" s="73" t="str">
        <f aca="false">IF('Client Info'!$B$21="","",'Client Info'!$B$21)</f>
        <v/>
      </c>
      <c r="G9" s="73"/>
      <c r="H9" s="73"/>
    </row>
    <row r="10" customFormat="false" ht="15" hidden="false" customHeight="false" outlineLevel="0" collapsed="false">
      <c r="A10" s="13" t="s">
        <v>87</v>
      </c>
      <c r="B10" s="74" t="str">
        <f aca="false">IF('Client Info'!$B$15="","",'Client Info'!$B$15)</f>
        <v/>
      </c>
      <c r="C10" s="74"/>
      <c r="E10" s="13" t="s">
        <v>352</v>
      </c>
      <c r="F10" s="75" t="str">
        <f aca="false">IF(OR(F5="",F9=""),"",F5-F9)</f>
        <v/>
      </c>
      <c r="G10" s="75"/>
      <c r="H10" s="75"/>
    </row>
    <row r="12" customFormat="false" ht="15" hidden="false" customHeight="false" outlineLevel="0" collapsed="false">
      <c r="A12" s="8" t="s">
        <v>353</v>
      </c>
    </row>
    <row r="13" customFormat="false" ht="15" hidden="false" customHeight="false" outlineLevel="0" collapsed="false">
      <c r="A13" s="76" t="str">
        <f aca="false">IF(AND('Client Info'!$B$15&lt;&gt;"",'Client Info'!$B$15&lt;=Thresholds!$D$31,F6&lt;&gt;"Healthy",F6&lt;&gt;"Not scored"),"Renewal in "&amp;'Client Info'!$B$15&amp;" days with a rating of "&amp;F6&amp;". Start renewal recovery now.","No renewal alert.")</f>
        <v>No renewal alert.</v>
      </c>
      <c r="B13" s="76"/>
      <c r="C13" s="76"/>
      <c r="D13" s="76"/>
      <c r="E13" s="76"/>
      <c r="F13" s="76"/>
      <c r="G13" s="76"/>
      <c r="H13" s="76"/>
    </row>
    <row r="14" customFormat="false" ht="15" hidden="false" customHeight="false" outlineLevel="0" collapsed="false">
      <c r="A14" s="76" t="str">
        <f aca="false">IF(F8&gt;0,F8&amp;" critical item(s) rated At Risk. Overall rating forced to At Risk regardless of score.","No critical items At Risk.")</f>
        <v>No critical items At Risk.</v>
      </c>
      <c r="B14" s="76"/>
      <c r="C14" s="76"/>
      <c r="D14" s="76"/>
      <c r="E14" s="76"/>
      <c r="F14" s="76"/>
      <c r="G14" s="76"/>
      <c r="H14" s="76"/>
    </row>
    <row r="15" customFormat="false" ht="15" hidden="false" customHeight="false" outlineLevel="0" collapsed="false">
      <c r="A15" s="76" t="str">
        <f aca="false">IF(COUNTIF(Assessment!$P$5:$P$33,"Add evidence")+COUNTIF(Assessment!$P$5:$P$33,"Override: add evidence")&gt;0,COUNTIF(Assessment!$P$5:$P$33,"Add evidence")+COUNTIF(Assessment!$P$5:$P$33,"Override: add evidence")&amp;" scored item(s) are missing evidence. Complete before the review.","Evidence complete for all scored items.")</f>
        <v>Evidence complete for all scored items.</v>
      </c>
      <c r="B15" s="76"/>
      <c r="C15" s="76"/>
      <c r="D15" s="76"/>
      <c r="E15" s="76"/>
      <c r="F15" s="76"/>
      <c r="G15" s="76"/>
      <c r="H15" s="76"/>
    </row>
    <row r="16" customFormat="false" ht="15" hidden="false" customHeight="false" outlineLevel="0" collapsed="false">
      <c r="A16" s="76" t="str">
        <f aca="false">IF(COUNTIF(Assessment!$P$5:$P$33,"Not scored")&gt;0,COUNTIF(Assessment!$P$5:$P$33,"Not scored")&amp;" item(s) not yet scored. The score reflects scored items only.","All items scored.")</f>
        <v>29 item(s) not yet scored. The score reflects scored items only.</v>
      </c>
      <c r="B16" s="76"/>
      <c r="C16" s="76"/>
      <c r="D16" s="76"/>
      <c r="E16" s="76"/>
      <c r="F16" s="76"/>
      <c r="G16" s="76"/>
      <c r="H16" s="76"/>
    </row>
    <row r="18" customFormat="false" ht="15" hidden="false" customHeight="false" outlineLevel="0" collapsed="false">
      <c r="A18" s="8" t="s">
        <v>354</v>
      </c>
    </row>
    <row r="19" customFormat="false" ht="30" hidden="false" customHeight="true" outlineLevel="0" collapsed="false">
      <c r="A19" s="17" t="s">
        <v>180</v>
      </c>
      <c r="B19" s="17" t="s">
        <v>355</v>
      </c>
      <c r="C19" s="17" t="s">
        <v>356</v>
      </c>
      <c r="D19" s="17" t="s">
        <v>357</v>
      </c>
      <c r="E19" s="17" t="s">
        <v>186</v>
      </c>
      <c r="F19" s="17" t="s">
        <v>187</v>
      </c>
      <c r="G19" s="17" t="s">
        <v>188</v>
      </c>
      <c r="H19" s="17" t="s">
        <v>358</v>
      </c>
    </row>
    <row r="20" customFormat="false" ht="15" hidden="false" customHeight="false" outlineLevel="0" collapsed="false">
      <c r="A20" s="18" t="s">
        <v>198</v>
      </c>
      <c r="B20" s="77" t="n">
        <f aca="false">COUNTIF(Assessment!$B$5:$B$33,A20)</f>
        <v>6</v>
      </c>
      <c r="C20" s="77" t="n">
        <f aca="false">SUMPRODUCT((Assessment!$B$5:$B$33=A20)*(Assessment!$N$5:$N$33&lt;&gt;""))</f>
        <v>0</v>
      </c>
      <c r="D20" s="78" t="str">
        <f aca="false">IF(C20=0,"",ROUND(SUMPRODUCT((Assessment!$B$5:$B$33=A20)*Assessment!$G$5:$G$33*Assessment!$R$5:$R$33)/SUMPRODUCT((Assessment!$B$5:$B$33=A20)*Assessment!$G$5:$G$33*(Assessment!$N$5:$N$33&lt;&gt;"")),0))</f>
        <v/>
      </c>
      <c r="E20" s="77" t="n">
        <f aca="false">COUNTIFS(Assessment!$B$5:$B$33,A20,Assessment!$N$5:$N$33,"Satisfactory")</f>
        <v>0</v>
      </c>
      <c r="F20" s="77" t="n">
        <f aca="false">COUNTIFS(Assessment!$B$5:$B$33,A20,Assessment!$N$5:$N$33,"Needs Attention")</f>
        <v>0</v>
      </c>
      <c r="G20" s="77" t="n">
        <f aca="false">COUNTIFS(Assessment!$B$5:$B$33,A20,Assessment!$N$5:$N$33,"At Risk")</f>
        <v>0</v>
      </c>
      <c r="H20" s="77" t="str">
        <f aca="false">IF(G20&gt;0,"At Risk items present",IF(F20&gt;0,"Needs Attention items present",IF(C20=0,"Not scored","")))</f>
        <v>Not scored</v>
      </c>
    </row>
    <row r="21" customFormat="false" ht="15" hidden="false" customHeight="false" outlineLevel="0" collapsed="false">
      <c r="A21" s="18" t="s">
        <v>230</v>
      </c>
      <c r="B21" s="77" t="n">
        <f aca="false">COUNTIF(Assessment!$B$5:$B$33,A21)</f>
        <v>5</v>
      </c>
      <c r="C21" s="77" t="n">
        <f aca="false">SUMPRODUCT((Assessment!$B$5:$B$33=A21)*(Assessment!$N$5:$N$33&lt;&gt;""))</f>
        <v>0</v>
      </c>
      <c r="D21" s="78" t="str">
        <f aca="false">IF(C21=0,"",ROUND(SUMPRODUCT((Assessment!$B$5:$B$33=A21)*Assessment!$G$5:$G$33*Assessment!$R$5:$R$33)/SUMPRODUCT((Assessment!$B$5:$B$33=A21)*Assessment!$G$5:$G$33*(Assessment!$N$5:$N$33&lt;&gt;"")),0))</f>
        <v/>
      </c>
      <c r="E21" s="77" t="n">
        <f aca="false">COUNTIFS(Assessment!$B$5:$B$33,A21,Assessment!$N$5:$N$33,"Satisfactory")</f>
        <v>0</v>
      </c>
      <c r="F21" s="77" t="n">
        <f aca="false">COUNTIFS(Assessment!$B$5:$B$33,A21,Assessment!$N$5:$N$33,"Needs Attention")</f>
        <v>0</v>
      </c>
      <c r="G21" s="77" t="n">
        <f aca="false">COUNTIFS(Assessment!$B$5:$B$33,A21,Assessment!$N$5:$N$33,"At Risk")</f>
        <v>0</v>
      </c>
      <c r="H21" s="77" t="str">
        <f aca="false">IF(G21&gt;0,"At Risk items present",IF(F21&gt;0,"Needs Attention items present",IF(C21=0,"Not scored","")))</f>
        <v>Not scored</v>
      </c>
    </row>
    <row r="22" customFormat="false" ht="15" hidden="false" customHeight="false" outlineLevel="0" collapsed="false">
      <c r="A22" s="18" t="s">
        <v>246</v>
      </c>
      <c r="B22" s="77" t="n">
        <f aca="false">COUNTIF(Assessment!$B$5:$B$33,A22)</f>
        <v>5</v>
      </c>
      <c r="C22" s="77" t="n">
        <f aca="false">SUMPRODUCT((Assessment!$B$5:$B$33=A22)*(Assessment!$N$5:$N$33&lt;&gt;""))</f>
        <v>0</v>
      </c>
      <c r="D22" s="78" t="str">
        <f aca="false">IF(C22=0,"",ROUND(SUMPRODUCT((Assessment!$B$5:$B$33=A22)*Assessment!$G$5:$G$33*Assessment!$R$5:$R$33)/SUMPRODUCT((Assessment!$B$5:$B$33=A22)*Assessment!$G$5:$G$33*(Assessment!$N$5:$N$33&lt;&gt;"")),0))</f>
        <v/>
      </c>
      <c r="E22" s="77" t="n">
        <f aca="false">COUNTIFS(Assessment!$B$5:$B$33,A22,Assessment!$N$5:$N$33,"Satisfactory")</f>
        <v>0</v>
      </c>
      <c r="F22" s="77" t="n">
        <f aca="false">COUNTIFS(Assessment!$B$5:$B$33,A22,Assessment!$N$5:$N$33,"Needs Attention")</f>
        <v>0</v>
      </c>
      <c r="G22" s="77" t="n">
        <f aca="false">COUNTIFS(Assessment!$B$5:$B$33,A22,Assessment!$N$5:$N$33,"At Risk")</f>
        <v>0</v>
      </c>
      <c r="H22" s="77" t="str">
        <f aca="false">IF(G22&gt;0,"At Risk items present",IF(F22&gt;0,"Needs Attention items present",IF(C22=0,"Not scored","")))</f>
        <v>Not scored</v>
      </c>
    </row>
    <row r="23" customFormat="false" ht="15" hidden="false" customHeight="false" outlineLevel="0" collapsed="false">
      <c r="A23" s="18" t="s">
        <v>270</v>
      </c>
      <c r="B23" s="77" t="n">
        <f aca="false">COUNTIF(Assessment!$B$5:$B$33,A23)</f>
        <v>4</v>
      </c>
      <c r="C23" s="77" t="n">
        <f aca="false">SUMPRODUCT((Assessment!$B$5:$B$33=A23)*(Assessment!$N$5:$N$33&lt;&gt;""))</f>
        <v>0</v>
      </c>
      <c r="D23" s="78" t="str">
        <f aca="false">IF(C23=0,"",ROUND(SUMPRODUCT((Assessment!$B$5:$B$33=A23)*Assessment!$G$5:$G$33*Assessment!$R$5:$R$33)/SUMPRODUCT((Assessment!$B$5:$B$33=A23)*Assessment!$G$5:$G$33*(Assessment!$N$5:$N$33&lt;&gt;"")),0))</f>
        <v/>
      </c>
      <c r="E23" s="77" t="n">
        <f aca="false">COUNTIFS(Assessment!$B$5:$B$33,A23,Assessment!$N$5:$N$33,"Satisfactory")</f>
        <v>0</v>
      </c>
      <c r="F23" s="77" t="n">
        <f aca="false">COUNTIFS(Assessment!$B$5:$B$33,A23,Assessment!$N$5:$N$33,"Needs Attention")</f>
        <v>0</v>
      </c>
      <c r="G23" s="77" t="n">
        <f aca="false">COUNTIFS(Assessment!$B$5:$B$33,A23,Assessment!$N$5:$N$33,"At Risk")</f>
        <v>0</v>
      </c>
      <c r="H23" s="77" t="str">
        <f aca="false">IF(G23&gt;0,"At Risk items present",IF(F23&gt;0,"Needs Attention items present",IF(C23=0,"Not scored","")))</f>
        <v>Not scored</v>
      </c>
    </row>
    <row r="24" customFormat="false" ht="15" hidden="false" customHeight="false" outlineLevel="0" collapsed="false">
      <c r="A24" s="18" t="s">
        <v>288</v>
      </c>
      <c r="B24" s="77" t="n">
        <f aca="false">COUNTIF(Assessment!$B$5:$B$33,A24)</f>
        <v>4</v>
      </c>
      <c r="C24" s="77" t="n">
        <f aca="false">SUMPRODUCT((Assessment!$B$5:$B$33=A24)*(Assessment!$N$5:$N$33&lt;&gt;""))</f>
        <v>0</v>
      </c>
      <c r="D24" s="78" t="str">
        <f aca="false">IF(C24=0,"",ROUND(SUMPRODUCT((Assessment!$B$5:$B$33=A24)*Assessment!$G$5:$G$33*Assessment!$R$5:$R$33)/SUMPRODUCT((Assessment!$B$5:$B$33=A24)*Assessment!$G$5:$G$33*(Assessment!$N$5:$N$33&lt;&gt;"")),0))</f>
        <v/>
      </c>
      <c r="E24" s="77" t="n">
        <f aca="false">COUNTIFS(Assessment!$B$5:$B$33,A24,Assessment!$N$5:$N$33,"Satisfactory")</f>
        <v>0</v>
      </c>
      <c r="F24" s="77" t="n">
        <f aca="false">COUNTIFS(Assessment!$B$5:$B$33,A24,Assessment!$N$5:$N$33,"Needs Attention")</f>
        <v>0</v>
      </c>
      <c r="G24" s="77" t="n">
        <f aca="false">COUNTIFS(Assessment!$B$5:$B$33,A24,Assessment!$N$5:$N$33,"At Risk")</f>
        <v>0</v>
      </c>
      <c r="H24" s="77" t="str">
        <f aca="false">IF(G24&gt;0,"At Risk items present",IF(F24&gt;0,"Needs Attention items present",IF(C24=0,"Not scored","")))</f>
        <v>Not scored</v>
      </c>
    </row>
    <row r="25" customFormat="false" ht="15" hidden="false" customHeight="false" outlineLevel="0" collapsed="false">
      <c r="A25" s="18" t="s">
        <v>317</v>
      </c>
      <c r="B25" s="77" t="n">
        <f aca="false">COUNTIF(Assessment!$B$5:$B$33,A25)</f>
        <v>5</v>
      </c>
      <c r="C25" s="77" t="n">
        <f aca="false">SUMPRODUCT((Assessment!$B$5:$B$33=A25)*(Assessment!$N$5:$N$33&lt;&gt;""))</f>
        <v>0</v>
      </c>
      <c r="D25" s="78" t="str">
        <f aca="false">IF(C25=0,"",ROUND(SUMPRODUCT((Assessment!$B$5:$B$33=A25)*Assessment!$G$5:$G$33*Assessment!$R$5:$R$33)/SUMPRODUCT((Assessment!$B$5:$B$33=A25)*Assessment!$G$5:$G$33*(Assessment!$N$5:$N$33&lt;&gt;"")),0))</f>
        <v/>
      </c>
      <c r="E25" s="77" t="n">
        <f aca="false">COUNTIFS(Assessment!$B$5:$B$33,A25,Assessment!$N$5:$N$33,"Satisfactory")</f>
        <v>0</v>
      </c>
      <c r="F25" s="77" t="n">
        <f aca="false">COUNTIFS(Assessment!$B$5:$B$33,A25,Assessment!$N$5:$N$33,"Needs Attention")</f>
        <v>0</v>
      </c>
      <c r="G25" s="77" t="n">
        <f aca="false">COUNTIFS(Assessment!$B$5:$B$33,A25,Assessment!$N$5:$N$33,"At Risk")</f>
        <v>0</v>
      </c>
      <c r="H25" s="77" t="str">
        <f aca="false">IF(G25&gt;0,"At Risk items present",IF(F25&gt;0,"Needs Attention items present",IF(C25=0,"Not scored","")))</f>
        <v>Not scored</v>
      </c>
    </row>
    <row r="27" customFormat="false" ht="15" hidden="false" customHeight="false" outlineLevel="0" collapsed="false">
      <c r="A27" s="8" t="s">
        <v>29</v>
      </c>
    </row>
    <row r="28" customFormat="false" ht="15" hidden="false" customHeight="false" outlineLevel="0" collapsed="false">
      <c r="A28" s="13" t="s">
        <v>359</v>
      </c>
      <c r="B28" s="79" t="str">
        <f aca="false">IF('Client Info'!$B$19="","",'Client Info'!$B$19)</f>
        <v/>
      </c>
      <c r="C28" s="79"/>
      <c r="D28" s="79"/>
      <c r="E28" s="79"/>
      <c r="F28" s="79"/>
      <c r="G28" s="79"/>
      <c r="H28" s="79"/>
    </row>
    <row r="29" customFormat="false" ht="15" hidden="false" customHeight="false" outlineLevel="0" collapsed="false">
      <c r="A29" s="13" t="s">
        <v>360</v>
      </c>
      <c r="B29" s="79" t="str">
        <f aca="false">IF('Client Info'!$B$20="","",'Client Info'!$B$20)</f>
        <v/>
      </c>
      <c r="C29" s="79"/>
      <c r="D29" s="79"/>
      <c r="E29" s="79"/>
      <c r="F29" s="79"/>
      <c r="G29" s="79"/>
      <c r="H29" s="79"/>
    </row>
    <row r="30" customFormat="false" ht="15" hidden="false" customHeight="false" outlineLevel="0" collapsed="false">
      <c r="A30" s="13" t="s">
        <v>361</v>
      </c>
      <c r="B30" s="80" t="str">
        <f aca="false">IF(OR(B28="",B29=""),"Not entered",IF(B28&gt;=B29,"Profitable","Below target"))</f>
        <v>Not entered</v>
      </c>
      <c r="C30" s="80"/>
      <c r="D30" s="80"/>
      <c r="E30" s="80"/>
      <c r="F30" s="80"/>
      <c r="G30" s="80"/>
      <c r="H30" s="80"/>
    </row>
    <row r="31" customFormat="false" ht="15" hidden="false" customHeight="false" outlineLevel="0" collapsed="false">
      <c r="A31" s="13" t="s">
        <v>362</v>
      </c>
      <c r="B31" s="81" t="str">
        <f aca="false">IF(OR(F6="Not scored",B30="Not entered"),"Incomplete",IF(F6="Healthy",IF(B30="Profitable","Protect &amp; Expand","Reprice"),IF(B30="Profitable","Rescue (Priority)","Fix or Exit")))</f>
        <v>Incomplete</v>
      </c>
      <c r="C31" s="81"/>
      <c r="D31" s="81"/>
      <c r="E31" s="81"/>
      <c r="F31" s="81"/>
      <c r="G31" s="81"/>
      <c r="H31" s="81"/>
    </row>
    <row r="32" customFormat="false" ht="43.5" hidden="false" customHeight="true" outlineLevel="0" collapsed="false">
      <c r="A32" s="13" t="s">
        <v>363</v>
      </c>
      <c r="B32" s="68" t="str">
        <f aca="false">IF(B31="Protect &amp; Expand","Keep the cadence. Use the next QBR to propose the highest-value roadmap item and ask for a referral.",IF(B31="Reprice","The relationship can absorb a pricing conversation. Review scope, consumption, and rates before renewal, and present the adjustment tied to value delivered.",IF(B31="Rescue (Priority)","Highest blind-spot risk: the revenue is real and the relationship is eroding. Hold an executive-to-executive meeting within 30 days and assign an owner to every At Risk item.",IF(B31="Fix or Exit","Decide deliberately. Either build a 90-day recovery plan that includes repricing, or plan a professional, managed exit at renewal.","Complete the assessment and margin inputs to see the recommended play."))))</f>
        <v>Complete the assessment and margin inputs to see the recommended play.</v>
      </c>
      <c r="C32" s="68"/>
      <c r="D32" s="68"/>
      <c r="E32" s="68"/>
      <c r="F32" s="68"/>
      <c r="G32" s="68"/>
      <c r="H32" s="68"/>
    </row>
    <row r="34" customFormat="false" ht="15" hidden="false" customHeight="false" outlineLevel="0" collapsed="false">
      <c r="A34" s="8" t="s">
        <v>364</v>
      </c>
    </row>
    <row r="35" customFormat="false" ht="30" hidden="false" customHeight="true" outlineLevel="0" collapsed="false">
      <c r="A35" s="17" t="s">
        <v>365</v>
      </c>
      <c r="B35" s="17" t="s">
        <v>102</v>
      </c>
      <c r="C35" s="17" t="s">
        <v>181</v>
      </c>
      <c r="D35" s="17"/>
      <c r="E35" s="17" t="s">
        <v>366</v>
      </c>
      <c r="F35" s="17" t="s">
        <v>363</v>
      </c>
      <c r="G35" s="17"/>
      <c r="H35" s="17" t="s">
        <v>193</v>
      </c>
    </row>
    <row r="36" customFormat="false" ht="39.75" hidden="false" customHeight="true" outlineLevel="0" collapsed="false">
      <c r="A36" s="44" t="str">
        <f aca="false">IF(B36="","",1)</f>
        <v/>
      </c>
      <c r="B36" s="82" t="str">
        <f aca="false">IFERROR(INDEX(Assessment!$A$5:$A$33,MATCH(1,Assessment!$S$5:$S$33,0)),"")</f>
        <v/>
      </c>
      <c r="C36" s="44" t="str">
        <f aca="false">IF(B36="","",INDEX(Assessment!$C$5:$C$33,MATCH(B36,Assessment!$A$5:$A$33,0)))</f>
        <v/>
      </c>
      <c r="D36" s="44"/>
      <c r="E36" s="82" t="str">
        <f aca="false">IF(B36="","",INDEX(Assessment!$N$5:$N$33,MATCH(B36,Assessment!$A$5:$A$33,0)))</f>
        <v/>
      </c>
      <c r="F36" s="44" t="str">
        <f aca="false">IF(B36="","",INDEX(Assessment!$Q$5:$Q$33,MATCH(B36,Assessment!$A$5:$A$33,0)))</f>
        <v/>
      </c>
      <c r="G36" s="44"/>
      <c r="H36" s="44" t="str">
        <f aca="false">IF(B36="","",IF(INDEX(Assessment!$O$5:$O$33,MATCH(B36,Assessment!$A$5:$A$33,0))="","",INDEX(Assessment!$O$5:$O$33,MATCH(B36,Assessment!$A$5:$A$33,0))))</f>
        <v/>
      </c>
    </row>
    <row r="37" customFormat="false" ht="39.75" hidden="false" customHeight="true" outlineLevel="0" collapsed="false">
      <c r="A37" s="44" t="str">
        <f aca="false">IF(B37="","",2)</f>
        <v/>
      </c>
      <c r="B37" s="82" t="str">
        <f aca="false">IFERROR(INDEX(Assessment!$A$5:$A$33,MATCH(2,Assessment!$S$5:$S$33,0)),"")</f>
        <v/>
      </c>
      <c r="C37" s="44" t="str">
        <f aca="false">IF(B37="","",INDEX(Assessment!$C$5:$C$33,MATCH(B37,Assessment!$A$5:$A$33,0)))</f>
        <v/>
      </c>
      <c r="D37" s="44"/>
      <c r="E37" s="82" t="str">
        <f aca="false">IF(B37="","",INDEX(Assessment!$N$5:$N$33,MATCH(B37,Assessment!$A$5:$A$33,0)))</f>
        <v/>
      </c>
      <c r="F37" s="44" t="str">
        <f aca="false">IF(B37="","",INDEX(Assessment!$Q$5:$Q$33,MATCH(B37,Assessment!$A$5:$A$33,0)))</f>
        <v/>
      </c>
      <c r="G37" s="44"/>
      <c r="H37" s="44" t="str">
        <f aca="false">IF(B37="","",IF(INDEX(Assessment!$O$5:$O$33,MATCH(B37,Assessment!$A$5:$A$33,0))="","",INDEX(Assessment!$O$5:$O$33,MATCH(B37,Assessment!$A$5:$A$33,0))))</f>
        <v/>
      </c>
    </row>
    <row r="38" customFormat="false" ht="39.75" hidden="false" customHeight="true" outlineLevel="0" collapsed="false">
      <c r="A38" s="44" t="str">
        <f aca="false">IF(B38="","",3)</f>
        <v/>
      </c>
      <c r="B38" s="82" t="str">
        <f aca="false">IFERROR(INDEX(Assessment!$A$5:$A$33,MATCH(3,Assessment!$S$5:$S$33,0)),"")</f>
        <v/>
      </c>
      <c r="C38" s="44" t="str">
        <f aca="false">IF(B38="","",INDEX(Assessment!$C$5:$C$33,MATCH(B38,Assessment!$A$5:$A$33,0)))</f>
        <v/>
      </c>
      <c r="D38" s="44"/>
      <c r="E38" s="82" t="str">
        <f aca="false">IF(B38="","",INDEX(Assessment!$N$5:$N$33,MATCH(B38,Assessment!$A$5:$A$33,0)))</f>
        <v/>
      </c>
      <c r="F38" s="44" t="str">
        <f aca="false">IF(B38="","",INDEX(Assessment!$Q$5:$Q$33,MATCH(B38,Assessment!$A$5:$A$33,0)))</f>
        <v/>
      </c>
      <c r="G38" s="44"/>
      <c r="H38" s="44" t="str">
        <f aca="false">IF(B38="","",IF(INDEX(Assessment!$O$5:$O$33,MATCH(B38,Assessment!$A$5:$A$33,0))="","",INDEX(Assessment!$O$5:$O$33,MATCH(B38,Assessment!$A$5:$A$33,0))))</f>
        <v/>
      </c>
    </row>
    <row r="39" customFormat="false" ht="39.75" hidden="false" customHeight="true" outlineLevel="0" collapsed="false">
      <c r="A39" s="44" t="str">
        <f aca="false">IF(B39="","",4)</f>
        <v/>
      </c>
      <c r="B39" s="82" t="str">
        <f aca="false">IFERROR(INDEX(Assessment!$A$5:$A$33,MATCH(4,Assessment!$S$5:$S$33,0)),"")</f>
        <v/>
      </c>
      <c r="C39" s="44" t="str">
        <f aca="false">IF(B39="","",INDEX(Assessment!$C$5:$C$33,MATCH(B39,Assessment!$A$5:$A$33,0)))</f>
        <v/>
      </c>
      <c r="D39" s="44"/>
      <c r="E39" s="82" t="str">
        <f aca="false">IF(B39="","",INDEX(Assessment!$N$5:$N$33,MATCH(B39,Assessment!$A$5:$A$33,0)))</f>
        <v/>
      </c>
      <c r="F39" s="44" t="str">
        <f aca="false">IF(B39="","",INDEX(Assessment!$Q$5:$Q$33,MATCH(B39,Assessment!$A$5:$A$33,0)))</f>
        <v/>
      </c>
      <c r="G39" s="44"/>
      <c r="H39" s="44" t="str">
        <f aca="false">IF(B39="","",IF(INDEX(Assessment!$O$5:$O$33,MATCH(B39,Assessment!$A$5:$A$33,0))="","",INDEX(Assessment!$O$5:$O$33,MATCH(B39,Assessment!$A$5:$A$33,0))))</f>
        <v/>
      </c>
    </row>
    <row r="40" customFormat="false" ht="39.75" hidden="false" customHeight="true" outlineLevel="0" collapsed="false">
      <c r="A40" s="44" t="str">
        <f aca="false">IF(B40="","",5)</f>
        <v/>
      </c>
      <c r="B40" s="82" t="str">
        <f aca="false">IFERROR(INDEX(Assessment!$A$5:$A$33,MATCH(5,Assessment!$S$5:$S$33,0)),"")</f>
        <v/>
      </c>
      <c r="C40" s="44" t="str">
        <f aca="false">IF(B40="","",INDEX(Assessment!$C$5:$C$33,MATCH(B40,Assessment!$A$5:$A$33,0)))</f>
        <v/>
      </c>
      <c r="D40" s="44"/>
      <c r="E40" s="82" t="str">
        <f aca="false">IF(B40="","",INDEX(Assessment!$N$5:$N$33,MATCH(B40,Assessment!$A$5:$A$33,0)))</f>
        <v/>
      </c>
      <c r="F40" s="44" t="str">
        <f aca="false">IF(B40="","",INDEX(Assessment!$Q$5:$Q$33,MATCH(B40,Assessment!$A$5:$A$33,0)))</f>
        <v/>
      </c>
      <c r="G40" s="44"/>
      <c r="H40" s="44" t="str">
        <f aca="false">IF(B40="","",IF(INDEX(Assessment!$O$5:$O$33,MATCH(B40,Assessment!$A$5:$A$33,0))="","",INDEX(Assessment!$O$5:$O$33,MATCH(B40,Assessment!$A$5:$A$33,0))))</f>
        <v/>
      </c>
    </row>
    <row r="41" customFormat="false" ht="39.75" hidden="false" customHeight="true" outlineLevel="0" collapsed="false">
      <c r="A41" s="44" t="str">
        <f aca="false">IF(B41="","",6)</f>
        <v/>
      </c>
      <c r="B41" s="82" t="str">
        <f aca="false">IFERROR(INDEX(Assessment!$A$5:$A$33,MATCH(6,Assessment!$S$5:$S$33,0)),"")</f>
        <v/>
      </c>
      <c r="C41" s="44" t="str">
        <f aca="false">IF(B41="","",INDEX(Assessment!$C$5:$C$33,MATCH(B41,Assessment!$A$5:$A$33,0)))</f>
        <v/>
      </c>
      <c r="D41" s="44"/>
      <c r="E41" s="82" t="str">
        <f aca="false">IF(B41="","",INDEX(Assessment!$N$5:$N$33,MATCH(B41,Assessment!$A$5:$A$33,0)))</f>
        <v/>
      </c>
      <c r="F41" s="44" t="str">
        <f aca="false">IF(B41="","",INDEX(Assessment!$Q$5:$Q$33,MATCH(B41,Assessment!$A$5:$A$33,0)))</f>
        <v/>
      </c>
      <c r="G41" s="44"/>
      <c r="H41" s="44" t="str">
        <f aca="false">IF(B41="","",IF(INDEX(Assessment!$O$5:$O$33,MATCH(B41,Assessment!$A$5:$A$33,0))="","",INDEX(Assessment!$O$5:$O$33,MATCH(B41,Assessment!$A$5:$A$33,0))))</f>
        <v/>
      </c>
    </row>
    <row r="42" customFormat="false" ht="39.75" hidden="false" customHeight="true" outlineLevel="0" collapsed="false">
      <c r="A42" s="44" t="str">
        <f aca="false">IF(B42="","",7)</f>
        <v/>
      </c>
      <c r="B42" s="82" t="str">
        <f aca="false">IFERROR(INDEX(Assessment!$A$5:$A$33,MATCH(7,Assessment!$S$5:$S$33,0)),"")</f>
        <v/>
      </c>
      <c r="C42" s="44" t="str">
        <f aca="false">IF(B42="","",INDEX(Assessment!$C$5:$C$33,MATCH(B42,Assessment!$A$5:$A$33,0)))</f>
        <v/>
      </c>
      <c r="D42" s="44"/>
      <c r="E42" s="82" t="str">
        <f aca="false">IF(B42="","",INDEX(Assessment!$N$5:$N$33,MATCH(B42,Assessment!$A$5:$A$33,0)))</f>
        <v/>
      </c>
      <c r="F42" s="44" t="str">
        <f aca="false">IF(B42="","",INDEX(Assessment!$Q$5:$Q$33,MATCH(B42,Assessment!$A$5:$A$33,0)))</f>
        <v/>
      </c>
      <c r="G42" s="44"/>
      <c r="H42" s="44" t="str">
        <f aca="false">IF(B42="","",IF(INDEX(Assessment!$O$5:$O$33,MATCH(B42,Assessment!$A$5:$A$33,0))="","",INDEX(Assessment!$O$5:$O$33,MATCH(B42,Assessment!$A$5:$A$33,0))))</f>
        <v/>
      </c>
    </row>
    <row r="43" customFormat="false" ht="39.75" hidden="false" customHeight="true" outlineLevel="0" collapsed="false">
      <c r="A43" s="44" t="str">
        <f aca="false">IF(B43="","",8)</f>
        <v/>
      </c>
      <c r="B43" s="82" t="str">
        <f aca="false">IFERROR(INDEX(Assessment!$A$5:$A$33,MATCH(8,Assessment!$S$5:$S$33,0)),"")</f>
        <v/>
      </c>
      <c r="C43" s="44" t="str">
        <f aca="false">IF(B43="","",INDEX(Assessment!$C$5:$C$33,MATCH(B43,Assessment!$A$5:$A$33,0)))</f>
        <v/>
      </c>
      <c r="D43" s="44"/>
      <c r="E43" s="82" t="str">
        <f aca="false">IF(B43="","",INDEX(Assessment!$N$5:$N$33,MATCH(B43,Assessment!$A$5:$A$33,0)))</f>
        <v/>
      </c>
      <c r="F43" s="44" t="str">
        <f aca="false">IF(B43="","",INDEX(Assessment!$Q$5:$Q$33,MATCH(B43,Assessment!$A$5:$A$33,0)))</f>
        <v/>
      </c>
      <c r="G43" s="44"/>
      <c r="H43" s="44" t="str">
        <f aca="false">IF(B43="","",IF(INDEX(Assessment!$O$5:$O$33,MATCH(B43,Assessment!$A$5:$A$33,0))="","",INDEX(Assessment!$O$5:$O$33,MATCH(B43,Assessment!$A$5:$A$33,0))))</f>
        <v/>
      </c>
    </row>
    <row r="44" customFormat="false" ht="39.75" hidden="false" customHeight="true" outlineLevel="0" collapsed="false">
      <c r="A44" s="44" t="str">
        <f aca="false">IF(B44="","",9)</f>
        <v/>
      </c>
      <c r="B44" s="82" t="str">
        <f aca="false">IFERROR(INDEX(Assessment!$A$5:$A$33,MATCH(9,Assessment!$S$5:$S$33,0)),"")</f>
        <v/>
      </c>
      <c r="C44" s="44" t="str">
        <f aca="false">IF(B44="","",INDEX(Assessment!$C$5:$C$33,MATCH(B44,Assessment!$A$5:$A$33,0)))</f>
        <v/>
      </c>
      <c r="D44" s="44"/>
      <c r="E44" s="82" t="str">
        <f aca="false">IF(B44="","",INDEX(Assessment!$N$5:$N$33,MATCH(B44,Assessment!$A$5:$A$33,0)))</f>
        <v/>
      </c>
      <c r="F44" s="44" t="str">
        <f aca="false">IF(B44="","",INDEX(Assessment!$Q$5:$Q$33,MATCH(B44,Assessment!$A$5:$A$33,0)))</f>
        <v/>
      </c>
      <c r="G44" s="44"/>
      <c r="H44" s="44" t="str">
        <f aca="false">IF(B44="","",IF(INDEX(Assessment!$O$5:$O$33,MATCH(B44,Assessment!$A$5:$A$33,0))="","",INDEX(Assessment!$O$5:$O$33,MATCH(B44,Assessment!$A$5:$A$33,0))))</f>
        <v/>
      </c>
    </row>
    <row r="45" customFormat="false" ht="39.75" hidden="false" customHeight="true" outlineLevel="0" collapsed="false">
      <c r="A45" s="44" t="str">
        <f aca="false">IF(B45="","",10)</f>
        <v/>
      </c>
      <c r="B45" s="82" t="str">
        <f aca="false">IFERROR(INDEX(Assessment!$A$5:$A$33,MATCH(10,Assessment!$S$5:$S$33,0)),"")</f>
        <v/>
      </c>
      <c r="C45" s="44" t="str">
        <f aca="false">IF(B45="","",INDEX(Assessment!$C$5:$C$33,MATCH(B45,Assessment!$A$5:$A$33,0)))</f>
        <v/>
      </c>
      <c r="D45" s="44"/>
      <c r="E45" s="82" t="str">
        <f aca="false">IF(B45="","",INDEX(Assessment!$N$5:$N$33,MATCH(B45,Assessment!$A$5:$A$33,0)))</f>
        <v/>
      </c>
      <c r="F45" s="44" t="str">
        <f aca="false">IF(B45="","",INDEX(Assessment!$Q$5:$Q$33,MATCH(B45,Assessment!$A$5:$A$33,0)))</f>
        <v/>
      </c>
      <c r="G45" s="44"/>
      <c r="H45" s="44" t="str">
        <f aca="false">IF(B45="","",IF(INDEX(Assessment!$O$5:$O$33,MATCH(B45,Assessment!$A$5:$A$33,0))="","",INDEX(Assessment!$O$5:$O$33,MATCH(B45,Assessment!$A$5:$A$33,0))))</f>
        <v/>
      </c>
    </row>
    <row r="46" customFormat="false" ht="39.75" hidden="false" customHeight="true" outlineLevel="0" collapsed="false">
      <c r="A46" s="44" t="str">
        <f aca="false">IF(B46="","",11)</f>
        <v/>
      </c>
      <c r="B46" s="82" t="str">
        <f aca="false">IFERROR(INDEX(Assessment!$A$5:$A$33,MATCH(11,Assessment!$S$5:$S$33,0)),"")</f>
        <v/>
      </c>
      <c r="C46" s="44" t="str">
        <f aca="false">IF(B46="","",INDEX(Assessment!$C$5:$C$33,MATCH(B46,Assessment!$A$5:$A$33,0)))</f>
        <v/>
      </c>
      <c r="D46" s="44"/>
      <c r="E46" s="82" t="str">
        <f aca="false">IF(B46="","",INDEX(Assessment!$N$5:$N$33,MATCH(B46,Assessment!$A$5:$A$33,0)))</f>
        <v/>
      </c>
      <c r="F46" s="44" t="str">
        <f aca="false">IF(B46="","",INDEX(Assessment!$Q$5:$Q$33,MATCH(B46,Assessment!$A$5:$A$33,0)))</f>
        <v/>
      </c>
      <c r="G46" s="44"/>
      <c r="H46" s="44" t="str">
        <f aca="false">IF(B46="","",IF(INDEX(Assessment!$O$5:$O$33,MATCH(B46,Assessment!$A$5:$A$33,0))="","",INDEX(Assessment!$O$5:$O$33,MATCH(B46,Assessment!$A$5:$A$33,0))))</f>
        <v/>
      </c>
    </row>
    <row r="47" customFormat="false" ht="39.75" hidden="false" customHeight="true" outlineLevel="0" collapsed="false">
      <c r="A47" s="44" t="str">
        <f aca="false">IF(B47="","",12)</f>
        <v/>
      </c>
      <c r="B47" s="82" t="str">
        <f aca="false">IFERROR(INDEX(Assessment!$A$5:$A$33,MATCH(12,Assessment!$S$5:$S$33,0)),"")</f>
        <v/>
      </c>
      <c r="C47" s="44" t="str">
        <f aca="false">IF(B47="","",INDEX(Assessment!$C$5:$C$33,MATCH(B47,Assessment!$A$5:$A$33,0)))</f>
        <v/>
      </c>
      <c r="D47" s="44"/>
      <c r="E47" s="82" t="str">
        <f aca="false">IF(B47="","",INDEX(Assessment!$N$5:$N$33,MATCH(B47,Assessment!$A$5:$A$33,0)))</f>
        <v/>
      </c>
      <c r="F47" s="44" t="str">
        <f aca="false">IF(B47="","",INDEX(Assessment!$Q$5:$Q$33,MATCH(B47,Assessment!$A$5:$A$33,0)))</f>
        <v/>
      </c>
      <c r="G47" s="44"/>
      <c r="H47" s="44" t="str">
        <f aca="false">IF(B47="","",IF(INDEX(Assessment!$O$5:$O$33,MATCH(B47,Assessment!$A$5:$A$33,0))="","",INDEX(Assessment!$O$5:$O$33,MATCH(B47,Assessment!$A$5:$A$33,0))))</f>
        <v/>
      </c>
    </row>
    <row r="48" customFormat="false" ht="39.75" hidden="false" customHeight="true" outlineLevel="0" collapsed="false">
      <c r="A48" s="44" t="str">
        <f aca="false">IF(B48="","",13)</f>
        <v/>
      </c>
      <c r="B48" s="82" t="str">
        <f aca="false">IFERROR(INDEX(Assessment!$A$5:$A$33,MATCH(13,Assessment!$S$5:$S$33,0)),"")</f>
        <v/>
      </c>
      <c r="C48" s="44" t="str">
        <f aca="false">IF(B48="","",INDEX(Assessment!$C$5:$C$33,MATCH(B48,Assessment!$A$5:$A$33,0)))</f>
        <v/>
      </c>
      <c r="D48" s="44"/>
      <c r="E48" s="82" t="str">
        <f aca="false">IF(B48="","",INDEX(Assessment!$N$5:$N$33,MATCH(B48,Assessment!$A$5:$A$33,0)))</f>
        <v/>
      </c>
      <c r="F48" s="44" t="str">
        <f aca="false">IF(B48="","",INDEX(Assessment!$Q$5:$Q$33,MATCH(B48,Assessment!$A$5:$A$33,0)))</f>
        <v/>
      </c>
      <c r="G48" s="44"/>
      <c r="H48" s="44" t="str">
        <f aca="false">IF(B48="","",IF(INDEX(Assessment!$O$5:$O$33,MATCH(B48,Assessment!$A$5:$A$33,0))="","",INDEX(Assessment!$O$5:$O$33,MATCH(B48,Assessment!$A$5:$A$33,0))))</f>
        <v/>
      </c>
    </row>
    <row r="49" customFormat="false" ht="39.75" hidden="false" customHeight="true" outlineLevel="0" collapsed="false">
      <c r="A49" s="44" t="str">
        <f aca="false">IF(B49="","",14)</f>
        <v/>
      </c>
      <c r="B49" s="82" t="str">
        <f aca="false">IFERROR(INDEX(Assessment!$A$5:$A$33,MATCH(14,Assessment!$S$5:$S$33,0)),"")</f>
        <v/>
      </c>
      <c r="C49" s="44" t="str">
        <f aca="false">IF(B49="","",INDEX(Assessment!$C$5:$C$33,MATCH(B49,Assessment!$A$5:$A$33,0)))</f>
        <v/>
      </c>
      <c r="D49" s="44"/>
      <c r="E49" s="82" t="str">
        <f aca="false">IF(B49="","",INDEX(Assessment!$N$5:$N$33,MATCH(B49,Assessment!$A$5:$A$33,0)))</f>
        <v/>
      </c>
      <c r="F49" s="44" t="str">
        <f aca="false">IF(B49="","",INDEX(Assessment!$Q$5:$Q$33,MATCH(B49,Assessment!$A$5:$A$33,0)))</f>
        <v/>
      </c>
      <c r="G49" s="44"/>
      <c r="H49" s="44" t="str">
        <f aca="false">IF(B49="","",IF(INDEX(Assessment!$O$5:$O$33,MATCH(B49,Assessment!$A$5:$A$33,0))="","",INDEX(Assessment!$O$5:$O$33,MATCH(B49,Assessment!$A$5:$A$33,0))))</f>
        <v/>
      </c>
    </row>
    <row r="50" customFormat="false" ht="39.75" hidden="false" customHeight="true" outlineLevel="0" collapsed="false">
      <c r="A50" s="44" t="str">
        <f aca="false">IF(B50="","",15)</f>
        <v/>
      </c>
      <c r="B50" s="82" t="str">
        <f aca="false">IFERROR(INDEX(Assessment!$A$5:$A$33,MATCH(15,Assessment!$S$5:$S$33,0)),"")</f>
        <v/>
      </c>
      <c r="C50" s="44" t="str">
        <f aca="false">IF(B50="","",INDEX(Assessment!$C$5:$C$33,MATCH(B50,Assessment!$A$5:$A$33,0)))</f>
        <v/>
      </c>
      <c r="D50" s="44"/>
      <c r="E50" s="82" t="str">
        <f aca="false">IF(B50="","",INDEX(Assessment!$N$5:$N$33,MATCH(B50,Assessment!$A$5:$A$33,0)))</f>
        <v/>
      </c>
      <c r="F50" s="44" t="str">
        <f aca="false">IF(B50="","",INDEX(Assessment!$Q$5:$Q$33,MATCH(B50,Assessment!$A$5:$A$33,0)))</f>
        <v/>
      </c>
      <c r="G50" s="44"/>
      <c r="H50" s="44" t="str">
        <f aca="false">IF(B50="","",IF(INDEX(Assessment!$O$5:$O$33,MATCH(B50,Assessment!$A$5:$A$33,0))="","",INDEX(Assessment!$O$5:$O$33,MATCH(B50,Assessment!$A$5:$A$33,0))))</f>
        <v/>
      </c>
    </row>
    <row r="51" customFormat="false" ht="39.75" hidden="false" customHeight="true" outlineLevel="0" collapsed="false">
      <c r="A51" s="44" t="str">
        <f aca="false">IF(B51="","",16)</f>
        <v/>
      </c>
      <c r="B51" s="82" t="str">
        <f aca="false">IFERROR(INDEX(Assessment!$A$5:$A$33,MATCH(16,Assessment!$S$5:$S$33,0)),"")</f>
        <v/>
      </c>
      <c r="C51" s="44" t="str">
        <f aca="false">IF(B51="","",INDEX(Assessment!$C$5:$C$33,MATCH(B51,Assessment!$A$5:$A$33,0)))</f>
        <v/>
      </c>
      <c r="D51" s="44"/>
      <c r="E51" s="82" t="str">
        <f aca="false">IF(B51="","",INDEX(Assessment!$N$5:$N$33,MATCH(B51,Assessment!$A$5:$A$33,0)))</f>
        <v/>
      </c>
      <c r="F51" s="44" t="str">
        <f aca="false">IF(B51="","",INDEX(Assessment!$Q$5:$Q$33,MATCH(B51,Assessment!$A$5:$A$33,0)))</f>
        <v/>
      </c>
      <c r="G51" s="44"/>
      <c r="H51" s="44" t="str">
        <f aca="false">IF(B51="","",IF(INDEX(Assessment!$O$5:$O$33,MATCH(B51,Assessment!$A$5:$A$33,0))="","",INDEX(Assessment!$O$5:$O$33,MATCH(B51,Assessment!$A$5:$A$33,0))))</f>
        <v/>
      </c>
    </row>
    <row r="52" customFormat="false" ht="39.75" hidden="false" customHeight="true" outlineLevel="0" collapsed="false">
      <c r="A52" s="44" t="str">
        <f aca="false">IF(B52="","",17)</f>
        <v/>
      </c>
      <c r="B52" s="82" t="str">
        <f aca="false">IFERROR(INDEX(Assessment!$A$5:$A$33,MATCH(17,Assessment!$S$5:$S$33,0)),"")</f>
        <v/>
      </c>
      <c r="C52" s="44" t="str">
        <f aca="false">IF(B52="","",INDEX(Assessment!$C$5:$C$33,MATCH(B52,Assessment!$A$5:$A$33,0)))</f>
        <v/>
      </c>
      <c r="D52" s="44"/>
      <c r="E52" s="82" t="str">
        <f aca="false">IF(B52="","",INDEX(Assessment!$N$5:$N$33,MATCH(B52,Assessment!$A$5:$A$33,0)))</f>
        <v/>
      </c>
      <c r="F52" s="44" t="str">
        <f aca="false">IF(B52="","",INDEX(Assessment!$Q$5:$Q$33,MATCH(B52,Assessment!$A$5:$A$33,0)))</f>
        <v/>
      </c>
      <c r="G52" s="44"/>
      <c r="H52" s="44" t="str">
        <f aca="false">IF(B52="","",IF(INDEX(Assessment!$O$5:$O$33,MATCH(B52,Assessment!$A$5:$A$33,0))="","",INDEX(Assessment!$O$5:$O$33,MATCH(B52,Assessment!$A$5:$A$33,0))))</f>
        <v/>
      </c>
    </row>
    <row r="53" customFormat="false" ht="39.75" hidden="false" customHeight="true" outlineLevel="0" collapsed="false">
      <c r="A53" s="44" t="str">
        <f aca="false">IF(B53="","",18)</f>
        <v/>
      </c>
      <c r="B53" s="82" t="str">
        <f aca="false">IFERROR(INDEX(Assessment!$A$5:$A$33,MATCH(18,Assessment!$S$5:$S$33,0)),"")</f>
        <v/>
      </c>
      <c r="C53" s="44" t="str">
        <f aca="false">IF(B53="","",INDEX(Assessment!$C$5:$C$33,MATCH(B53,Assessment!$A$5:$A$33,0)))</f>
        <v/>
      </c>
      <c r="D53" s="44"/>
      <c r="E53" s="82" t="str">
        <f aca="false">IF(B53="","",INDEX(Assessment!$N$5:$N$33,MATCH(B53,Assessment!$A$5:$A$33,0)))</f>
        <v/>
      </c>
      <c r="F53" s="44" t="str">
        <f aca="false">IF(B53="","",INDEX(Assessment!$Q$5:$Q$33,MATCH(B53,Assessment!$A$5:$A$33,0)))</f>
        <v/>
      </c>
      <c r="G53" s="44"/>
      <c r="H53" s="44" t="str">
        <f aca="false">IF(B53="","",IF(INDEX(Assessment!$O$5:$O$33,MATCH(B53,Assessment!$A$5:$A$33,0))="","",INDEX(Assessment!$O$5:$O$33,MATCH(B53,Assessment!$A$5:$A$33,0))))</f>
        <v/>
      </c>
    </row>
    <row r="54" customFormat="false" ht="39.75" hidden="false" customHeight="true" outlineLevel="0" collapsed="false">
      <c r="A54" s="44" t="str">
        <f aca="false">IF(B54="","",19)</f>
        <v/>
      </c>
      <c r="B54" s="82" t="str">
        <f aca="false">IFERROR(INDEX(Assessment!$A$5:$A$33,MATCH(19,Assessment!$S$5:$S$33,0)),"")</f>
        <v/>
      </c>
      <c r="C54" s="44" t="str">
        <f aca="false">IF(B54="","",INDEX(Assessment!$C$5:$C$33,MATCH(B54,Assessment!$A$5:$A$33,0)))</f>
        <v/>
      </c>
      <c r="D54" s="44"/>
      <c r="E54" s="82" t="str">
        <f aca="false">IF(B54="","",INDEX(Assessment!$N$5:$N$33,MATCH(B54,Assessment!$A$5:$A$33,0)))</f>
        <v/>
      </c>
      <c r="F54" s="44" t="str">
        <f aca="false">IF(B54="","",INDEX(Assessment!$Q$5:$Q$33,MATCH(B54,Assessment!$A$5:$A$33,0)))</f>
        <v/>
      </c>
      <c r="G54" s="44"/>
      <c r="H54" s="44" t="str">
        <f aca="false">IF(B54="","",IF(INDEX(Assessment!$O$5:$O$33,MATCH(B54,Assessment!$A$5:$A$33,0))="","",INDEX(Assessment!$O$5:$O$33,MATCH(B54,Assessment!$A$5:$A$33,0))))</f>
        <v/>
      </c>
    </row>
    <row r="55" customFormat="false" ht="39.75" hidden="false" customHeight="true" outlineLevel="0" collapsed="false">
      <c r="A55" s="44" t="str">
        <f aca="false">IF(B55="","",20)</f>
        <v/>
      </c>
      <c r="B55" s="82" t="str">
        <f aca="false">IFERROR(INDEX(Assessment!$A$5:$A$33,MATCH(20,Assessment!$S$5:$S$33,0)),"")</f>
        <v/>
      </c>
      <c r="C55" s="44" t="str">
        <f aca="false">IF(B55="","",INDEX(Assessment!$C$5:$C$33,MATCH(B55,Assessment!$A$5:$A$33,0)))</f>
        <v/>
      </c>
      <c r="D55" s="44"/>
      <c r="E55" s="82" t="str">
        <f aca="false">IF(B55="","",INDEX(Assessment!$N$5:$N$33,MATCH(B55,Assessment!$A$5:$A$33,0)))</f>
        <v/>
      </c>
      <c r="F55" s="44" t="str">
        <f aca="false">IF(B55="","",INDEX(Assessment!$Q$5:$Q$33,MATCH(B55,Assessment!$A$5:$A$33,0)))</f>
        <v/>
      </c>
      <c r="G55" s="44"/>
      <c r="H55" s="44" t="str">
        <f aca="false">IF(B55="","",IF(INDEX(Assessment!$O$5:$O$33,MATCH(B55,Assessment!$A$5:$A$33,0))="","",INDEX(Assessment!$O$5:$O$33,MATCH(B55,Assessment!$A$5:$A$33,0))))</f>
        <v/>
      </c>
    </row>
    <row r="56" customFormat="false" ht="39.75" hidden="false" customHeight="true" outlineLevel="0" collapsed="false">
      <c r="A56" s="44" t="str">
        <f aca="false">IF(B56="","",21)</f>
        <v/>
      </c>
      <c r="B56" s="82" t="str">
        <f aca="false">IFERROR(INDEX(Assessment!$A$5:$A$33,MATCH(21,Assessment!$S$5:$S$33,0)),"")</f>
        <v/>
      </c>
      <c r="C56" s="44" t="str">
        <f aca="false">IF(B56="","",INDEX(Assessment!$C$5:$C$33,MATCH(B56,Assessment!$A$5:$A$33,0)))</f>
        <v/>
      </c>
      <c r="D56" s="44"/>
      <c r="E56" s="82" t="str">
        <f aca="false">IF(B56="","",INDEX(Assessment!$N$5:$N$33,MATCH(B56,Assessment!$A$5:$A$33,0)))</f>
        <v/>
      </c>
      <c r="F56" s="44" t="str">
        <f aca="false">IF(B56="","",INDEX(Assessment!$Q$5:$Q$33,MATCH(B56,Assessment!$A$5:$A$33,0)))</f>
        <v/>
      </c>
      <c r="G56" s="44"/>
      <c r="H56" s="44" t="str">
        <f aca="false">IF(B56="","",IF(INDEX(Assessment!$O$5:$O$33,MATCH(B56,Assessment!$A$5:$A$33,0))="","",INDEX(Assessment!$O$5:$O$33,MATCH(B56,Assessment!$A$5:$A$33,0))))</f>
        <v/>
      </c>
    </row>
    <row r="57" customFormat="false" ht="39.75" hidden="false" customHeight="true" outlineLevel="0" collapsed="false">
      <c r="A57" s="44" t="str">
        <f aca="false">IF(B57="","",22)</f>
        <v/>
      </c>
      <c r="B57" s="82" t="str">
        <f aca="false">IFERROR(INDEX(Assessment!$A$5:$A$33,MATCH(22,Assessment!$S$5:$S$33,0)),"")</f>
        <v/>
      </c>
      <c r="C57" s="44" t="str">
        <f aca="false">IF(B57="","",INDEX(Assessment!$C$5:$C$33,MATCH(B57,Assessment!$A$5:$A$33,0)))</f>
        <v/>
      </c>
      <c r="D57" s="44"/>
      <c r="E57" s="82" t="str">
        <f aca="false">IF(B57="","",INDEX(Assessment!$N$5:$N$33,MATCH(B57,Assessment!$A$5:$A$33,0)))</f>
        <v/>
      </c>
      <c r="F57" s="44" t="str">
        <f aca="false">IF(B57="","",INDEX(Assessment!$Q$5:$Q$33,MATCH(B57,Assessment!$A$5:$A$33,0)))</f>
        <v/>
      </c>
      <c r="G57" s="44"/>
      <c r="H57" s="44" t="str">
        <f aca="false">IF(B57="","",IF(INDEX(Assessment!$O$5:$O$33,MATCH(B57,Assessment!$A$5:$A$33,0))="","",INDEX(Assessment!$O$5:$O$33,MATCH(B57,Assessment!$A$5:$A$33,0))))</f>
        <v/>
      </c>
    </row>
    <row r="58" customFormat="false" ht="39.75" hidden="false" customHeight="true" outlineLevel="0" collapsed="false">
      <c r="A58" s="44" t="str">
        <f aca="false">IF(B58="","",23)</f>
        <v/>
      </c>
      <c r="B58" s="82" t="str">
        <f aca="false">IFERROR(INDEX(Assessment!$A$5:$A$33,MATCH(23,Assessment!$S$5:$S$33,0)),"")</f>
        <v/>
      </c>
      <c r="C58" s="44" t="str">
        <f aca="false">IF(B58="","",INDEX(Assessment!$C$5:$C$33,MATCH(B58,Assessment!$A$5:$A$33,0)))</f>
        <v/>
      </c>
      <c r="D58" s="44"/>
      <c r="E58" s="82" t="str">
        <f aca="false">IF(B58="","",INDEX(Assessment!$N$5:$N$33,MATCH(B58,Assessment!$A$5:$A$33,0)))</f>
        <v/>
      </c>
      <c r="F58" s="44" t="str">
        <f aca="false">IF(B58="","",INDEX(Assessment!$Q$5:$Q$33,MATCH(B58,Assessment!$A$5:$A$33,0)))</f>
        <v/>
      </c>
      <c r="G58" s="44"/>
      <c r="H58" s="44" t="str">
        <f aca="false">IF(B58="","",IF(INDEX(Assessment!$O$5:$O$33,MATCH(B58,Assessment!$A$5:$A$33,0))="","",INDEX(Assessment!$O$5:$O$33,MATCH(B58,Assessment!$A$5:$A$33,0))))</f>
        <v/>
      </c>
    </row>
    <row r="59" customFormat="false" ht="39.75" hidden="false" customHeight="true" outlineLevel="0" collapsed="false">
      <c r="A59" s="44" t="str">
        <f aca="false">IF(B59="","",24)</f>
        <v/>
      </c>
      <c r="B59" s="82" t="str">
        <f aca="false">IFERROR(INDEX(Assessment!$A$5:$A$33,MATCH(24,Assessment!$S$5:$S$33,0)),"")</f>
        <v/>
      </c>
      <c r="C59" s="44" t="str">
        <f aca="false">IF(B59="","",INDEX(Assessment!$C$5:$C$33,MATCH(B59,Assessment!$A$5:$A$33,0)))</f>
        <v/>
      </c>
      <c r="D59" s="44"/>
      <c r="E59" s="82" t="str">
        <f aca="false">IF(B59="","",INDEX(Assessment!$N$5:$N$33,MATCH(B59,Assessment!$A$5:$A$33,0)))</f>
        <v/>
      </c>
      <c r="F59" s="44" t="str">
        <f aca="false">IF(B59="","",INDEX(Assessment!$Q$5:$Q$33,MATCH(B59,Assessment!$A$5:$A$33,0)))</f>
        <v/>
      </c>
      <c r="G59" s="44"/>
      <c r="H59" s="44" t="str">
        <f aca="false">IF(B59="","",IF(INDEX(Assessment!$O$5:$O$33,MATCH(B59,Assessment!$A$5:$A$33,0))="","",INDEX(Assessment!$O$5:$O$33,MATCH(B59,Assessment!$A$5:$A$33,0))))</f>
        <v/>
      </c>
    </row>
    <row r="60" customFormat="false" ht="39.75" hidden="false" customHeight="true" outlineLevel="0" collapsed="false">
      <c r="A60" s="44" t="str">
        <f aca="false">IF(B60="","",25)</f>
        <v/>
      </c>
      <c r="B60" s="82" t="str">
        <f aca="false">IFERROR(INDEX(Assessment!$A$5:$A$33,MATCH(25,Assessment!$S$5:$S$33,0)),"")</f>
        <v/>
      </c>
      <c r="C60" s="44" t="str">
        <f aca="false">IF(B60="","",INDEX(Assessment!$C$5:$C$33,MATCH(B60,Assessment!$A$5:$A$33,0)))</f>
        <v/>
      </c>
      <c r="D60" s="44"/>
      <c r="E60" s="82" t="str">
        <f aca="false">IF(B60="","",INDEX(Assessment!$N$5:$N$33,MATCH(B60,Assessment!$A$5:$A$33,0)))</f>
        <v/>
      </c>
      <c r="F60" s="44" t="str">
        <f aca="false">IF(B60="","",INDEX(Assessment!$Q$5:$Q$33,MATCH(B60,Assessment!$A$5:$A$33,0)))</f>
        <v/>
      </c>
      <c r="G60" s="44"/>
      <c r="H60" s="44" t="str">
        <f aca="false">IF(B60="","",IF(INDEX(Assessment!$O$5:$O$33,MATCH(B60,Assessment!$A$5:$A$33,0))="","",INDEX(Assessment!$O$5:$O$33,MATCH(B60,Assessment!$A$5:$A$33,0))))</f>
        <v/>
      </c>
    </row>
    <row r="61" customFormat="false" ht="39.75" hidden="false" customHeight="true" outlineLevel="0" collapsed="false">
      <c r="A61" s="44" t="str">
        <f aca="false">IF(B61="","",26)</f>
        <v/>
      </c>
      <c r="B61" s="82" t="str">
        <f aca="false">IFERROR(INDEX(Assessment!$A$5:$A$33,MATCH(26,Assessment!$S$5:$S$33,0)),"")</f>
        <v/>
      </c>
      <c r="C61" s="44" t="str">
        <f aca="false">IF(B61="","",INDEX(Assessment!$C$5:$C$33,MATCH(B61,Assessment!$A$5:$A$33,0)))</f>
        <v/>
      </c>
      <c r="D61" s="44"/>
      <c r="E61" s="82" t="str">
        <f aca="false">IF(B61="","",INDEX(Assessment!$N$5:$N$33,MATCH(B61,Assessment!$A$5:$A$33,0)))</f>
        <v/>
      </c>
      <c r="F61" s="44" t="str">
        <f aca="false">IF(B61="","",INDEX(Assessment!$Q$5:$Q$33,MATCH(B61,Assessment!$A$5:$A$33,0)))</f>
        <v/>
      </c>
      <c r="G61" s="44"/>
      <c r="H61" s="44" t="str">
        <f aca="false">IF(B61="","",IF(INDEX(Assessment!$O$5:$O$33,MATCH(B61,Assessment!$A$5:$A$33,0))="","",INDEX(Assessment!$O$5:$O$33,MATCH(B61,Assessment!$A$5:$A$33,0))))</f>
        <v/>
      </c>
    </row>
    <row r="62" customFormat="false" ht="39.75" hidden="false" customHeight="true" outlineLevel="0" collapsed="false">
      <c r="A62" s="44" t="str">
        <f aca="false">IF(B62="","",27)</f>
        <v/>
      </c>
      <c r="B62" s="82" t="str">
        <f aca="false">IFERROR(INDEX(Assessment!$A$5:$A$33,MATCH(27,Assessment!$S$5:$S$33,0)),"")</f>
        <v/>
      </c>
      <c r="C62" s="44" t="str">
        <f aca="false">IF(B62="","",INDEX(Assessment!$C$5:$C$33,MATCH(B62,Assessment!$A$5:$A$33,0)))</f>
        <v/>
      </c>
      <c r="D62" s="44"/>
      <c r="E62" s="82" t="str">
        <f aca="false">IF(B62="","",INDEX(Assessment!$N$5:$N$33,MATCH(B62,Assessment!$A$5:$A$33,0)))</f>
        <v/>
      </c>
      <c r="F62" s="44" t="str">
        <f aca="false">IF(B62="","",INDEX(Assessment!$Q$5:$Q$33,MATCH(B62,Assessment!$A$5:$A$33,0)))</f>
        <v/>
      </c>
      <c r="G62" s="44"/>
      <c r="H62" s="44" t="str">
        <f aca="false">IF(B62="","",IF(INDEX(Assessment!$O$5:$O$33,MATCH(B62,Assessment!$A$5:$A$33,0))="","",INDEX(Assessment!$O$5:$O$33,MATCH(B62,Assessment!$A$5:$A$33,0))))</f>
        <v/>
      </c>
    </row>
    <row r="63" customFormat="false" ht="39.75" hidden="false" customHeight="true" outlineLevel="0" collapsed="false">
      <c r="A63" s="44" t="str">
        <f aca="false">IF(B63="","",28)</f>
        <v/>
      </c>
      <c r="B63" s="82" t="str">
        <f aca="false">IFERROR(INDEX(Assessment!$A$5:$A$33,MATCH(28,Assessment!$S$5:$S$33,0)),"")</f>
        <v/>
      </c>
      <c r="C63" s="44" t="str">
        <f aca="false">IF(B63="","",INDEX(Assessment!$C$5:$C$33,MATCH(B63,Assessment!$A$5:$A$33,0)))</f>
        <v/>
      </c>
      <c r="D63" s="44"/>
      <c r="E63" s="82" t="str">
        <f aca="false">IF(B63="","",INDEX(Assessment!$N$5:$N$33,MATCH(B63,Assessment!$A$5:$A$33,0)))</f>
        <v/>
      </c>
      <c r="F63" s="44" t="str">
        <f aca="false">IF(B63="","",INDEX(Assessment!$Q$5:$Q$33,MATCH(B63,Assessment!$A$5:$A$33,0)))</f>
        <v/>
      </c>
      <c r="G63" s="44"/>
      <c r="H63" s="44" t="str">
        <f aca="false">IF(B63="","",IF(INDEX(Assessment!$O$5:$O$33,MATCH(B63,Assessment!$A$5:$A$33,0))="","",INDEX(Assessment!$O$5:$O$33,MATCH(B63,Assessment!$A$5:$A$33,0))))</f>
        <v/>
      </c>
    </row>
    <row r="64" customFormat="false" ht="39.75" hidden="false" customHeight="true" outlineLevel="0" collapsed="false">
      <c r="A64" s="44" t="str">
        <f aca="false">IF(B64="","",29)</f>
        <v/>
      </c>
      <c r="B64" s="82" t="str">
        <f aca="false">IFERROR(INDEX(Assessment!$A$5:$A$33,MATCH(29,Assessment!$S$5:$S$33,0)),"")</f>
        <v/>
      </c>
      <c r="C64" s="44" t="str">
        <f aca="false">IF(B64="","",INDEX(Assessment!$C$5:$C$33,MATCH(B64,Assessment!$A$5:$A$33,0)))</f>
        <v/>
      </c>
      <c r="D64" s="44"/>
      <c r="E64" s="82" t="str">
        <f aca="false">IF(B64="","",INDEX(Assessment!$N$5:$N$33,MATCH(B64,Assessment!$A$5:$A$33,0)))</f>
        <v/>
      </c>
      <c r="F64" s="44" t="str">
        <f aca="false">IF(B64="","",INDEX(Assessment!$Q$5:$Q$33,MATCH(B64,Assessment!$A$5:$A$33,0)))</f>
        <v/>
      </c>
      <c r="G64" s="44"/>
      <c r="H64" s="44" t="str">
        <f aca="false">IF(B64="","",IF(INDEX(Assessment!$O$5:$O$33,MATCH(B64,Assessment!$A$5:$A$33,0))="","",INDEX(Assessment!$O$5:$O$33,MATCH(B64,Assessment!$A$5:$A$33,0))))</f>
        <v/>
      </c>
    </row>
    <row r="66" customFormat="false" ht="15" hidden="false" customHeight="false" outlineLevel="0" collapsed="false">
      <c r="A66" s="83" t="s">
        <v>60</v>
      </c>
    </row>
  </sheetData>
  <mergeCells count="82">
    <mergeCell ref="G1:H2"/>
    <mergeCell ref="B5:C5"/>
    <mergeCell ref="F5:H5"/>
    <mergeCell ref="B6:C6"/>
    <mergeCell ref="F6:H6"/>
    <mergeCell ref="B7:C7"/>
    <mergeCell ref="F7:H7"/>
    <mergeCell ref="B8:C8"/>
    <mergeCell ref="F8:H8"/>
    <mergeCell ref="B9:C9"/>
    <mergeCell ref="F9:H9"/>
    <mergeCell ref="B10:C10"/>
    <mergeCell ref="F10:H10"/>
    <mergeCell ref="A13:H13"/>
    <mergeCell ref="A14:H14"/>
    <mergeCell ref="A15:H15"/>
    <mergeCell ref="A16:H16"/>
    <mergeCell ref="B28:H28"/>
    <mergeCell ref="B29:H29"/>
    <mergeCell ref="B30:H30"/>
    <mergeCell ref="B31:H31"/>
    <mergeCell ref="B32:H32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</mergeCells>
  <conditionalFormatting sqref="F6">
    <cfRule type="expression" priority="2" aboveAverage="0" equalAverage="0" bottom="0" percent="0" rank="0" text="" dxfId="4">
      <formula>F6="Healthy"</formula>
    </cfRule>
    <cfRule type="expression" priority="3" aboveAverage="0" equalAverage="0" bottom="0" percent="0" rank="0" text="" dxfId="5">
      <formula>F6="Watch"</formula>
    </cfRule>
    <cfRule type="expression" priority="4" aboveAverage="0" equalAverage="0" bottom="0" percent="0" rank="0" text="" dxfId="6">
      <formula>F6="At Risk"</formula>
    </cfRule>
  </conditionalFormatting>
  <conditionalFormatting sqref="F8">
    <cfRule type="expression" priority="5" aboveAverage="0" equalAverage="0" bottom="0" percent="0" rank="0" text="" dxfId="2">
      <formula>F8&gt;0</formula>
    </cfRule>
  </conditionalFormatting>
  <conditionalFormatting sqref="A13">
    <cfRule type="expression" priority="6" aboveAverage="0" equalAverage="0" bottom="0" percent="0" rank="0" text="" dxfId="7">
      <formula>AND(LEFT(A13,2)&lt;&gt;"No",LEFT(A13,3)&lt;&gt;"All",LEFT(A13,8)&lt;&gt;"Evidence")</formula>
    </cfRule>
  </conditionalFormatting>
  <conditionalFormatting sqref="A14">
    <cfRule type="expression" priority="7" aboveAverage="0" equalAverage="0" bottom="0" percent="0" rank="0" text="" dxfId="7">
      <formula>AND(LEFT(A14,2)&lt;&gt;"No",LEFT(A14,3)&lt;&gt;"All",LEFT(A14,8)&lt;&gt;"Evidence")</formula>
    </cfRule>
  </conditionalFormatting>
  <conditionalFormatting sqref="A15">
    <cfRule type="expression" priority="8" aboveAverage="0" equalAverage="0" bottom="0" percent="0" rank="0" text="" dxfId="7">
      <formula>AND(LEFT(A15,2)&lt;&gt;"No",LEFT(A15,3)&lt;&gt;"All",LEFT(A15,8)&lt;&gt;"Evidence")</formula>
    </cfRule>
  </conditionalFormatting>
  <conditionalFormatting sqref="A16">
    <cfRule type="expression" priority="9" aboveAverage="0" equalAverage="0" bottom="0" percent="0" rank="0" text="" dxfId="7">
      <formula>AND(LEFT(A16,2)&lt;&gt;"No",LEFT(A16,3)&lt;&gt;"All",LEFT(A16,8)&lt;&gt;"Evidence")</formula>
    </cfRule>
  </conditionalFormatting>
  <conditionalFormatting sqref="D20:D25">
    <cfRule type="expression" priority="10" aboveAverage="0" equalAverage="0" bottom="0" percent="0" rank="0" text="" dxfId="0">
      <formula>AND(D20&lt;&gt;"",D20&gt;=Thresholds!$D$28)</formula>
    </cfRule>
    <cfRule type="expression" priority="11" aboveAverage="0" equalAverage="0" bottom="0" percent="0" rank="0" text="" dxfId="1">
      <formula>AND(D20&lt;&gt;"",D20&gt;=Thresholds!$D$29,D20&lt;Thresholds!$D$28)</formula>
    </cfRule>
    <cfRule type="expression" priority="12" aboveAverage="0" equalAverage="0" bottom="0" percent="0" rank="0" text="" dxfId="2">
      <formula>AND(D20&lt;&gt;"",D20&lt;Thresholds!$D$29)</formula>
    </cfRule>
  </conditionalFormatting>
  <conditionalFormatting sqref="B31">
    <cfRule type="expression" priority="13" aboveAverage="0" equalAverage="0" bottom="0" percent="0" rank="0" text="" dxfId="8">
      <formula>B31="Protect &amp; Expand"</formula>
    </cfRule>
    <cfRule type="expression" priority="14" aboveAverage="0" equalAverage="0" bottom="0" percent="0" rank="0" text="" dxfId="9">
      <formula>OR(B31="Reprice",B31="Fix or Exit")</formula>
    </cfRule>
    <cfRule type="expression" priority="15" aboveAverage="0" equalAverage="0" bottom="0" percent="0" rank="0" text="" dxfId="10">
      <formula>B31="Rescue (Priority)"</formula>
    </cfRule>
  </conditionalFormatting>
  <conditionalFormatting sqref="E36:E64">
    <cfRule type="expression" priority="16" aboveAverage="0" equalAverage="0" bottom="0" percent="0" rank="0" text="" dxfId="0">
      <formula>E36="Satisfactory"</formula>
    </cfRule>
    <cfRule type="expression" priority="17" aboveAverage="0" equalAverage="0" bottom="0" percent="0" rank="0" text="" dxfId="1">
      <formula>E36="Needs Attention"</formula>
    </cfRule>
    <cfRule type="expression" priority="18" aboveAverage="0" equalAverage="0" bottom="0" percent="0" rank="0" text="" dxfId="2">
      <formula>E36="At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1" t="s">
        <v>367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4" t="s">
        <v>368</v>
      </c>
      <c r="B2" s="2"/>
      <c r="C2" s="2"/>
      <c r="D2" s="2"/>
      <c r="E2" s="2"/>
      <c r="F2" s="2"/>
      <c r="G2" s="2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30" hidden="false" customHeight="true" outlineLevel="0" collapsed="false">
      <c r="A4" s="17" t="s">
        <v>369</v>
      </c>
      <c r="B4" s="17" t="s">
        <v>370</v>
      </c>
      <c r="C4" s="17" t="s">
        <v>371</v>
      </c>
      <c r="D4" s="17" t="s">
        <v>372</v>
      </c>
      <c r="E4" s="17" t="s">
        <v>373</v>
      </c>
      <c r="F4" s="17" t="s">
        <v>374</v>
      </c>
      <c r="G4" s="17" t="s">
        <v>375</v>
      </c>
    </row>
    <row r="5" customFormat="false" ht="15" hidden="false" customHeight="false" outlineLevel="0" collapsed="false">
      <c r="A5" s="26" t="s">
        <v>106</v>
      </c>
      <c r="B5" s="27" t="s">
        <v>376</v>
      </c>
      <c r="C5" s="27" t="s">
        <v>377</v>
      </c>
      <c r="D5" s="39" t="n">
        <v>0.9</v>
      </c>
      <c r="E5" s="39" t="n">
        <v>0.6</v>
      </c>
      <c r="F5" s="27" t="s">
        <v>378</v>
      </c>
      <c r="G5" s="27" t="s">
        <v>379</v>
      </c>
    </row>
    <row r="6" customFormat="false" ht="15" hidden="false" customHeight="false" outlineLevel="0" collapsed="false">
      <c r="A6" s="26" t="s">
        <v>110</v>
      </c>
      <c r="B6" s="27" t="s">
        <v>380</v>
      </c>
      <c r="C6" s="27" t="s">
        <v>381</v>
      </c>
      <c r="D6" s="28" t="n">
        <v>4</v>
      </c>
      <c r="E6" s="28" t="n">
        <v>6</v>
      </c>
      <c r="F6" s="27" t="s">
        <v>382</v>
      </c>
      <c r="G6" s="27" t="s">
        <v>383</v>
      </c>
    </row>
    <row r="7" customFormat="false" ht="15" hidden="false" customHeight="false" outlineLevel="0" collapsed="false">
      <c r="A7" s="26" t="s">
        <v>114</v>
      </c>
      <c r="B7" s="27" t="s">
        <v>384</v>
      </c>
      <c r="C7" s="27" t="s">
        <v>377</v>
      </c>
      <c r="D7" s="39" t="n">
        <v>0.9</v>
      </c>
      <c r="E7" s="39" t="n">
        <v>0.7</v>
      </c>
      <c r="F7" s="27" t="s">
        <v>378</v>
      </c>
      <c r="G7" s="27" t="s">
        <v>385</v>
      </c>
    </row>
    <row r="8" customFormat="false" ht="15" hidden="false" customHeight="false" outlineLevel="0" collapsed="false">
      <c r="A8" s="26" t="s">
        <v>120</v>
      </c>
      <c r="B8" s="27" t="s">
        <v>386</v>
      </c>
      <c r="C8" s="27" t="s">
        <v>377</v>
      </c>
      <c r="D8" s="28" t="n">
        <v>3</v>
      </c>
      <c r="E8" s="28" t="n">
        <v>2</v>
      </c>
      <c r="F8" s="27" t="s">
        <v>378</v>
      </c>
      <c r="G8" s="27" t="s">
        <v>387</v>
      </c>
    </row>
    <row r="9" customFormat="false" ht="15" hidden="false" customHeight="false" outlineLevel="0" collapsed="false">
      <c r="A9" s="26" t="s">
        <v>388</v>
      </c>
      <c r="B9" s="27" t="s">
        <v>389</v>
      </c>
      <c r="C9" s="27" t="s">
        <v>377</v>
      </c>
      <c r="D9" s="84" t="n">
        <v>0.75</v>
      </c>
      <c r="E9" s="84" t="n">
        <v>0.5</v>
      </c>
      <c r="F9" s="27" t="s">
        <v>378</v>
      </c>
      <c r="G9" s="27" t="s">
        <v>390</v>
      </c>
    </row>
    <row r="10" customFormat="false" ht="15" hidden="false" customHeight="false" outlineLevel="0" collapsed="false">
      <c r="A10" s="26" t="s">
        <v>391</v>
      </c>
      <c r="B10" s="27" t="s">
        <v>392</v>
      </c>
      <c r="C10" s="27" t="s">
        <v>381</v>
      </c>
      <c r="D10" s="84" t="n">
        <v>1.25</v>
      </c>
      <c r="E10" s="84" t="n">
        <v>1.5</v>
      </c>
      <c r="F10" s="27" t="s">
        <v>382</v>
      </c>
      <c r="G10" s="27" t="s">
        <v>393</v>
      </c>
    </row>
    <row r="11" customFormat="false" ht="15" hidden="false" customHeight="false" outlineLevel="0" collapsed="false">
      <c r="A11" s="26" t="s">
        <v>132</v>
      </c>
      <c r="B11" s="27" t="s">
        <v>394</v>
      </c>
      <c r="C11" s="27" t="s">
        <v>381</v>
      </c>
      <c r="D11" s="39" t="n">
        <v>0.05</v>
      </c>
      <c r="E11" s="39" t="n">
        <v>0.15</v>
      </c>
      <c r="F11" s="27" t="s">
        <v>382</v>
      </c>
      <c r="G11" s="27" t="s">
        <v>395</v>
      </c>
    </row>
    <row r="12" customFormat="false" ht="15" hidden="false" customHeight="false" outlineLevel="0" collapsed="false">
      <c r="A12" s="26" t="s">
        <v>136</v>
      </c>
      <c r="B12" s="27" t="s">
        <v>137</v>
      </c>
      <c r="C12" s="27" t="s">
        <v>381</v>
      </c>
      <c r="D12" s="39" t="n">
        <v>0.05</v>
      </c>
      <c r="E12" s="39" t="n">
        <v>0.1</v>
      </c>
      <c r="F12" s="27" t="s">
        <v>382</v>
      </c>
      <c r="G12" s="27" t="s">
        <v>395</v>
      </c>
    </row>
    <row r="13" customFormat="false" ht="15" hidden="false" customHeight="false" outlineLevel="0" collapsed="false">
      <c r="A13" s="26" t="s">
        <v>140</v>
      </c>
      <c r="B13" s="27" t="s">
        <v>141</v>
      </c>
      <c r="C13" s="27" t="s">
        <v>377</v>
      </c>
      <c r="D13" s="39" t="n">
        <v>0.95</v>
      </c>
      <c r="E13" s="39" t="n">
        <v>0.85</v>
      </c>
      <c r="F13" s="27" t="s">
        <v>378</v>
      </c>
      <c r="G13" s="27" t="s">
        <v>396</v>
      </c>
    </row>
    <row r="14" customFormat="false" ht="15" hidden="false" customHeight="false" outlineLevel="0" collapsed="false">
      <c r="A14" s="26" t="s">
        <v>144</v>
      </c>
      <c r="B14" s="27" t="s">
        <v>397</v>
      </c>
      <c r="C14" s="27" t="s">
        <v>381</v>
      </c>
      <c r="D14" s="28" t="n">
        <v>0</v>
      </c>
      <c r="E14" s="28" t="n">
        <v>1</v>
      </c>
      <c r="F14" s="27" t="s">
        <v>382</v>
      </c>
      <c r="G14" s="27" t="s">
        <v>398</v>
      </c>
    </row>
    <row r="15" customFormat="false" ht="15" hidden="false" customHeight="false" outlineLevel="0" collapsed="false">
      <c r="A15" s="26" t="s">
        <v>148</v>
      </c>
      <c r="B15" s="27" t="s">
        <v>149</v>
      </c>
      <c r="C15" s="27" t="s">
        <v>377</v>
      </c>
      <c r="D15" s="39" t="n">
        <v>0.2</v>
      </c>
      <c r="E15" s="39" t="n">
        <v>0.1</v>
      </c>
      <c r="F15" s="27" t="s">
        <v>378</v>
      </c>
      <c r="G15" s="27" t="s">
        <v>399</v>
      </c>
    </row>
    <row r="16" customFormat="false" ht="15" hidden="false" customHeight="false" outlineLevel="0" collapsed="false">
      <c r="A16" s="26" t="s">
        <v>154</v>
      </c>
      <c r="B16" s="27" t="s">
        <v>155</v>
      </c>
      <c r="C16" s="27" t="s">
        <v>377</v>
      </c>
      <c r="D16" s="39" t="n">
        <v>0.95</v>
      </c>
      <c r="E16" s="39" t="n">
        <v>0.9</v>
      </c>
      <c r="F16" s="27" t="s">
        <v>378</v>
      </c>
      <c r="G16" s="27" t="s">
        <v>400</v>
      </c>
    </row>
    <row r="17" customFormat="false" ht="23.85" hidden="false" customHeight="false" outlineLevel="0" collapsed="false">
      <c r="A17" s="26" t="s">
        <v>157</v>
      </c>
      <c r="B17" s="27" t="s">
        <v>401</v>
      </c>
      <c r="C17" s="27" t="s">
        <v>377</v>
      </c>
      <c r="D17" s="39" t="n">
        <v>1</v>
      </c>
      <c r="E17" s="39" t="n">
        <v>0.75</v>
      </c>
      <c r="F17" s="27" t="s">
        <v>378</v>
      </c>
      <c r="G17" s="27" t="s">
        <v>402</v>
      </c>
    </row>
    <row r="18" customFormat="false" ht="15" hidden="false" customHeight="false" outlineLevel="0" collapsed="false">
      <c r="A18" s="26" t="s">
        <v>403</v>
      </c>
      <c r="B18" s="27" t="s">
        <v>404</v>
      </c>
      <c r="C18" s="27" t="s">
        <v>381</v>
      </c>
      <c r="D18" s="28" t="n">
        <v>0</v>
      </c>
      <c r="E18" s="28" t="n">
        <v>15</v>
      </c>
      <c r="F18" s="27" t="s">
        <v>382</v>
      </c>
      <c r="G18" s="27" t="s">
        <v>405</v>
      </c>
    </row>
    <row r="19" customFormat="false" ht="23.85" hidden="false" customHeight="false" outlineLevel="0" collapsed="false">
      <c r="A19" s="26" t="s">
        <v>406</v>
      </c>
      <c r="B19" s="27" t="s">
        <v>407</v>
      </c>
      <c r="C19" s="27" t="s">
        <v>381</v>
      </c>
      <c r="D19" s="28" t="n">
        <v>5</v>
      </c>
      <c r="E19" s="28" t="n">
        <v>15</v>
      </c>
      <c r="F19" s="27" t="s">
        <v>382</v>
      </c>
      <c r="G19" s="27" t="s">
        <v>408</v>
      </c>
    </row>
    <row r="20" customFormat="false" ht="15" hidden="false" customHeight="false" outlineLevel="0" collapsed="false">
      <c r="A20" s="26" t="s">
        <v>168</v>
      </c>
      <c r="B20" s="27" t="s">
        <v>409</v>
      </c>
      <c r="C20" s="27" t="s">
        <v>377</v>
      </c>
      <c r="D20" s="39" t="n">
        <v>0.6</v>
      </c>
      <c r="E20" s="39" t="n">
        <v>0.3</v>
      </c>
      <c r="F20" s="27" t="s">
        <v>378</v>
      </c>
      <c r="G20" s="27" t="s">
        <v>410</v>
      </c>
    </row>
    <row r="21" customFormat="false" ht="15" hidden="false" customHeight="false" outlineLevel="0" collapsed="false">
      <c r="A21" s="26" t="s">
        <v>174</v>
      </c>
      <c r="B21" s="27" t="s">
        <v>411</v>
      </c>
      <c r="C21" s="27" t="s">
        <v>381</v>
      </c>
      <c r="D21" s="28" t="n">
        <v>0</v>
      </c>
      <c r="E21" s="28" t="n">
        <v>2</v>
      </c>
      <c r="F21" s="27" t="s">
        <v>382</v>
      </c>
      <c r="G21" s="27"/>
    </row>
    <row r="23" customFormat="false" ht="15" hidden="false" customHeight="false" outlineLevel="0" collapsed="false">
      <c r="A23" s="8" t="s">
        <v>412</v>
      </c>
    </row>
    <row r="24" customFormat="false" ht="30" hidden="false" customHeight="true" outlineLevel="0" collapsed="false">
      <c r="A24" s="17" t="s">
        <v>369</v>
      </c>
      <c r="B24" s="17" t="s">
        <v>413</v>
      </c>
      <c r="C24" s="17"/>
      <c r="D24" s="17" t="s">
        <v>64</v>
      </c>
      <c r="E24" s="17"/>
      <c r="F24" s="17" t="s">
        <v>65</v>
      </c>
      <c r="G24" s="17"/>
    </row>
    <row r="25" customFormat="false" ht="15" hidden="false" customHeight="false" outlineLevel="0" collapsed="false">
      <c r="A25" s="18" t="s">
        <v>414</v>
      </c>
      <c r="B25" s="85" t="s">
        <v>415</v>
      </c>
      <c r="C25" s="86"/>
      <c r="D25" s="87" t="n">
        <v>100</v>
      </c>
      <c r="E25" s="86"/>
      <c r="F25" s="88"/>
      <c r="G25" s="86"/>
    </row>
    <row r="26" customFormat="false" ht="15" hidden="false" customHeight="false" outlineLevel="0" collapsed="false">
      <c r="A26" s="18" t="s">
        <v>416</v>
      </c>
      <c r="B26" s="85" t="s">
        <v>417</v>
      </c>
      <c r="C26" s="86"/>
      <c r="D26" s="87" t="n">
        <v>50</v>
      </c>
      <c r="E26" s="86"/>
      <c r="F26" s="88"/>
      <c r="G26" s="86"/>
    </row>
    <row r="27" customFormat="false" ht="15" hidden="false" customHeight="false" outlineLevel="0" collapsed="false">
      <c r="A27" s="18" t="s">
        <v>418</v>
      </c>
      <c r="B27" s="85" t="s">
        <v>419</v>
      </c>
      <c r="C27" s="86"/>
      <c r="D27" s="87" t="n">
        <v>0</v>
      </c>
      <c r="E27" s="86"/>
      <c r="F27" s="88"/>
      <c r="G27" s="86"/>
    </row>
    <row r="28" customFormat="false" ht="15" hidden="false" customHeight="false" outlineLevel="0" collapsed="false">
      <c r="A28" s="18" t="s">
        <v>420</v>
      </c>
      <c r="B28" s="85" t="s">
        <v>421</v>
      </c>
      <c r="C28" s="86"/>
      <c r="D28" s="87" t="n">
        <v>80</v>
      </c>
      <c r="E28" s="86"/>
      <c r="F28" s="88" t="s">
        <v>422</v>
      </c>
      <c r="G28" s="86"/>
    </row>
    <row r="29" customFormat="false" ht="15" hidden="false" customHeight="false" outlineLevel="0" collapsed="false">
      <c r="A29" s="18" t="s">
        <v>423</v>
      </c>
      <c r="B29" s="85" t="s">
        <v>424</v>
      </c>
      <c r="C29" s="86"/>
      <c r="D29" s="87" t="n">
        <v>60</v>
      </c>
      <c r="E29" s="86"/>
      <c r="F29" s="88" t="s">
        <v>425</v>
      </c>
      <c r="G29" s="86"/>
    </row>
    <row r="30" customFormat="false" ht="15" hidden="false" customHeight="false" outlineLevel="0" collapsed="false">
      <c r="A30" s="18" t="s">
        <v>426</v>
      </c>
      <c r="B30" s="85" t="s">
        <v>427</v>
      </c>
      <c r="C30" s="86"/>
      <c r="D30" s="89" t="s">
        <v>428</v>
      </c>
      <c r="E30" s="86"/>
      <c r="F30" s="88" t="s">
        <v>429</v>
      </c>
      <c r="G30" s="86"/>
    </row>
    <row r="31" customFormat="false" ht="15" hidden="false" customHeight="false" outlineLevel="0" collapsed="false">
      <c r="A31" s="18" t="s">
        <v>430</v>
      </c>
      <c r="B31" s="85" t="s">
        <v>431</v>
      </c>
      <c r="C31" s="86"/>
      <c r="D31" s="87" t="n">
        <v>120</v>
      </c>
      <c r="E31" s="86"/>
      <c r="F31" s="88" t="s">
        <v>432</v>
      </c>
      <c r="G31" s="86"/>
    </row>
  </sheetData>
  <dataValidations count="1">
    <dataValidation allowBlank="false" errorStyle="stop" operator="between" showDropDown="false" showErrorMessage="false" showInputMessage="false" sqref="D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&amp;L&amp;8 INTERNAL USE ONLY - Do not share with the client&amp;R&amp;8 Powered by MSP Culture   | 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186</v>
      </c>
      <c r="B1" s="0" t="s">
        <v>219</v>
      </c>
      <c r="C1" s="0" t="n">
        <v>1</v>
      </c>
    </row>
    <row r="2" customFormat="false" ht="15" hidden="false" customHeight="false" outlineLevel="0" collapsed="false">
      <c r="A2" s="0" t="s">
        <v>187</v>
      </c>
      <c r="B2" s="0" t="s">
        <v>202</v>
      </c>
      <c r="C2" s="0" t="n">
        <v>2</v>
      </c>
    </row>
    <row r="3" customFormat="false" ht="15" hidden="false" customHeight="false" outlineLevel="0" collapsed="false">
      <c r="A3" s="0" t="s">
        <v>188</v>
      </c>
      <c r="C3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Company>MSP Culture</Company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2026-10-23T15:31:00Z</dcterms:created>
  <dc:creator>MSP Culture</dc:creator>
  <dc:description/>
  <cp:keywords>MSP Culture relationship health assessment v1.0</cp:keywords>
  <dc:language>en-US</dc:language>
  <cp:lastModifiedBy>MSP Culture</cp:lastModifiedBy>
  <dcterms:modified xsi:type="dcterms:W3CDTF">2026-10-23T15:31:00Z</dcterms:modified>
  <cp:revision>0</cp:revision>
  <dc:subject>MSP client relationship health assessment</dc:subject>
  <dc:title>Client Relationship Health Assessment</dc:title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